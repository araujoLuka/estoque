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estoque\"/>
    </mc:Choice>
  </mc:AlternateContent>
  <xr:revisionPtr revIDLastSave="0" documentId="13_ncr:1_{8A439719-E1FB-4F34-A0B8-18BE7E053796}" xr6:coauthVersionLast="46" xr6:coauthVersionMax="46" xr10:uidLastSave="{00000000-0000-0000-0000-000000000000}"/>
  <bookViews>
    <workbookView showHorizontalScroll="0" showVerticalScroll="0" showSheetTabs="0" xWindow="-108" yWindow="-108" windowWidth="23256" windowHeight="12456" tabRatio="0" xr2:uid="{00000000-000D-0000-FFFF-FFFF00000000}"/>
  </bookViews>
  <sheets>
    <sheet name="Acesso" sheetId="4" r:id="rId1"/>
    <sheet name="empty" sheetId="5" state="veryHidden" r:id="rId2"/>
    <sheet name="Usuarios" sheetId="3" state="veryHidden" r:id="rId3"/>
    <sheet name="Cadastro" sheetId="2" state="veryHidden" r:id="rId4"/>
    <sheet name="cadNovo" sheetId="8" state="veryHidden" r:id="rId5"/>
    <sheet name="Estoque" sheetId="9" state="veryHidden" r:id="rId6"/>
    <sheet name="Controle" sheetId="1" state="veryHidden" r:id="rId7"/>
    <sheet name="Entrada" sheetId="6" state="veryHidden" r:id="rId8"/>
    <sheet name="Saida" sheetId="7" state="veryHidden" r:id="rId9"/>
  </sheets>
  <functionGroups builtInGroupCount="19"/>
  <definedNames>
    <definedName name="usersList" localSheetId="4">users[id]</definedName>
    <definedName name="usersList" localSheetId="7">users[id]</definedName>
    <definedName name="usersList" localSheetId="5">users[id]</definedName>
    <definedName name="usersList" localSheetId="8">users[id]</definedName>
    <definedName name="usersList">users[id]</definedName>
    <definedName name="view" localSheetId="0">Acesso!$B$1:$W$31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9" l="1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1" i="9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1" i="8"/>
  <c r="B34" i="2"/>
  <c r="B29" i="2"/>
  <c r="B30" i="2"/>
  <c r="B31" i="2"/>
  <c r="B32" i="2"/>
  <c r="B36" i="2" l="1"/>
  <c r="B35" i="2"/>
  <c r="B33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7" i="2"/>
  <c r="B1" i="1" l="1"/>
  <c r="B1" i="7"/>
  <c r="B1" i="6"/>
  <c r="B1" i="2"/>
  <c r="H5" i="3"/>
</calcChain>
</file>

<file path=xl/sharedStrings.xml><?xml version="1.0" encoding="utf-8"?>
<sst xmlns="http://schemas.openxmlformats.org/spreadsheetml/2006/main" count="819" uniqueCount="93">
  <si>
    <t>CODIGO DE BARRAS</t>
  </si>
  <si>
    <t>CODIGO INTERNO</t>
  </si>
  <si>
    <t>PRODUTO</t>
  </si>
  <si>
    <t>QUANTIDADE</t>
  </si>
  <si>
    <t>ESTOQUE</t>
  </si>
  <si>
    <t>EUROPA BLISS BRANCO</t>
  </si>
  <si>
    <t>EUROPA BLISS BLACK</t>
  </si>
  <si>
    <t>EUROPA BLISS VERMELHO</t>
  </si>
  <si>
    <t>JARRA EUROPA MOV AZUL</t>
  </si>
  <si>
    <t>JARRA EUROPA MOV GELO</t>
  </si>
  <si>
    <t>JARRA EUROPA MOV BLACK</t>
  </si>
  <si>
    <t>DATA</t>
  </si>
  <si>
    <t>HORA</t>
  </si>
  <si>
    <t>REFIL BLISS</t>
  </si>
  <si>
    <t>EUROPA BLISS CINZA</t>
  </si>
  <si>
    <t>CODIGO HERDEIRO</t>
  </si>
  <si>
    <t>SEM GTIN</t>
  </si>
  <si>
    <t>CAM SMART</t>
  </si>
  <si>
    <t>SUMMER LINE UVLS HF INOX 127V</t>
  </si>
  <si>
    <t>DA VINCI SNTA BRANCO</t>
  </si>
  <si>
    <t>PALLADIUM PRATA FOSCO SILVER</t>
  </si>
  <si>
    <t>DA VINCI ICE INOX - 127 V</t>
  </si>
  <si>
    <t>SEM CH</t>
  </si>
  <si>
    <t>REFIL HF</t>
  </si>
  <si>
    <t>USUARIO</t>
  </si>
  <si>
    <t>LUCAS</t>
  </si>
  <si>
    <t>id</t>
  </si>
  <si>
    <t>lucas</t>
  </si>
  <si>
    <t>juliana</t>
  </si>
  <si>
    <t>araujo</t>
  </si>
  <si>
    <t>sidnei</t>
  </si>
  <si>
    <t>admin</t>
  </si>
  <si>
    <t>password</t>
  </si>
  <si>
    <t>ativo</t>
  </si>
  <si>
    <t>REFIL NOBLESSE</t>
  </si>
  <si>
    <t>CAMARA DUPLA - AJR / PL SNTA</t>
  </si>
  <si>
    <t>CAMARA PRÉ-PURIFICAÇÃO - SML/CPL</t>
  </si>
  <si>
    <t>CAMARA PURIFICAÇÃO - SML/CPL</t>
  </si>
  <si>
    <t>DA VINCI SNTA PRATA</t>
  </si>
  <si>
    <t>MODULO RETENTOR DE BACTERIAS - 180°</t>
  </si>
  <si>
    <t>REFIL - JARRA MOV</t>
  </si>
  <si>
    <t>REFIL - FOR PET</t>
  </si>
  <si>
    <t>MODULO RETENTOR DE BACTERIAS - MASTER</t>
  </si>
  <si>
    <t>PALLADIUM SNTA BRANCO</t>
  </si>
  <si>
    <t>SUMMER PLUS HF INOX - 127V</t>
  </si>
  <si>
    <t>jessica</t>
  </si>
  <si>
    <t>ENTRADA</t>
  </si>
  <si>
    <t>MOTIVO DA ENTRADA</t>
  </si>
  <si>
    <t>TIPO</t>
  </si>
  <si>
    <t>OBSERVAÇÕES</t>
  </si>
  <si>
    <t>Nº</t>
  </si>
  <si>
    <t>EUROPA FLUIR INOX - 127 V</t>
  </si>
  <si>
    <t>DA VINCI ICE BRANCO - 127 V</t>
  </si>
  <si>
    <t>JESSICA</t>
  </si>
  <si>
    <t xml:space="preserve">DEVOLUÇÃO DE CLIENTE - DR ALEXANDRE </t>
  </si>
  <si>
    <t>SIDNEI</t>
  </si>
  <si>
    <t xml:space="preserve">PEDIDO FABRICA </t>
  </si>
  <si>
    <t>PEDIDO FABRICA</t>
  </si>
  <si>
    <t>SAIDA</t>
  </si>
  <si>
    <t>MOTIVO DA RETIRADA</t>
  </si>
  <si>
    <t>ARAUJO</t>
  </si>
  <si>
    <t>DEVOLUÇÃO VISITA AO CLIEMTE</t>
  </si>
  <si>
    <t>emanuelly</t>
  </si>
  <si>
    <t>02 - SEM REFIL</t>
  </si>
  <si>
    <t>03 - TRANSFORMADAS</t>
  </si>
  <si>
    <t>REGISTRO DUPLA AÇÃO</t>
  </si>
  <si>
    <t>ADMIN</t>
  </si>
  <si>
    <t>patrick</t>
  </si>
  <si>
    <t>ENTREGA FABRICA</t>
  </si>
  <si>
    <t>EMANUELLY</t>
  </si>
  <si>
    <t>DEVOLUCAO DE MERCADORIA</t>
  </si>
  <si>
    <t>MERCADORIA VENDIDA</t>
  </si>
  <si>
    <t>SELETOR DE FUNÇÕES</t>
  </si>
  <si>
    <t>PEDIDO REVENDEDORES - LOJA BIG</t>
  </si>
  <si>
    <t>PEDIDO REVENDEDORES - L S</t>
  </si>
  <si>
    <t xml:space="preserve">PEDIDO REVENDEDORES - L S </t>
  </si>
  <si>
    <t>CONTROLE</t>
  </si>
  <si>
    <t>REF</t>
  </si>
  <si>
    <t>Bem Vindo, Administrador</t>
  </si>
  <si>
    <t>PEDIDO FABRICA NF  271595/606/607</t>
  </si>
  <si>
    <t xml:space="preserve">PEDIDO REVENDEDORES - MARCELO </t>
  </si>
  <si>
    <t>MERCADORIA VENDIDA - ENVIO PARA SUZANA</t>
  </si>
  <si>
    <t>AP</t>
  </si>
  <si>
    <t>07 - SEM REFIL</t>
  </si>
  <si>
    <t>05 - SEM REFIL</t>
  </si>
  <si>
    <t xml:space="preserve">FLUIR BRANCO </t>
  </si>
  <si>
    <t>PÇ</t>
  </si>
  <si>
    <t xml:space="preserve">RESERVATORIO DA VINCE ICE </t>
  </si>
  <si>
    <t>RESERVATORIO NOBLESS</t>
  </si>
  <si>
    <t>RESERVATORIO SUMMER</t>
  </si>
  <si>
    <t>01 - 220V</t>
  </si>
  <si>
    <t>LIMITE DE ESTOQUE</t>
  </si>
  <si>
    <t xml:space="preserve">DA VINCI ICE BLACK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</si>
</sst>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&quot;R$&quot;\ #,##0.00;\-&quot;R$&quot;\ #,##0.00"/>
    <numFmt numFmtId="164" formatCode="\+\ 0;[Red]\-\ 0"/>
    <numFmt numFmtId="165" formatCode="\+\ 0;[Red]\-_.\ 0"/>
    <numFmt numFmtId="166" formatCode="h:mm:ss"/>
    <numFmt numFmtId="167" formatCode="00"/>
    <numFmt numFmtId="168" formatCode=";;;&quot;********&quot;"/>
    <numFmt numFmtId="169" formatCode="&quot;********&quot;;&quot;********&quot;;&quot;********&quot;;&quot;********&quot;"/>
  </numFmts>
  <fonts count="10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b/>
      <sz val="16"/>
      <color theme="1" tint="0.249977111117893"/>
      <name val="Century Gothic"/>
      <family val="2"/>
    </font>
    <font>
      <sz val="11"/>
      <color theme="0" tint="-0.1499984740745262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</font>
    <font>
      <sz val="10"/>
      <color theme="1"/>
      <name val="Segoe UI"/>
    </font>
  </fonts>
  <fills count="14">
    <fill>
      <patternFill patternType="none"/>
    </fill>
    <fill>
      <patternFill patternType="gray125"/>
    </fill>
    <fill>
      <gradientFill degree="90">
        <stop position="0">
          <color rgb="FFFFFF66"/>
        </stop>
        <stop position="1">
          <color rgb="FFFFFF0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C1FFE0"/>
        <bgColor indexed="64"/>
      </patternFill>
    </fill>
    <fill>
      <gradientFill degree="45">
        <stop position="0">
          <color theme="0"/>
        </stop>
        <stop position="1">
          <color rgb="FFCDFFEB"/>
        </stop>
      </gradientFill>
    </fill>
    <fill>
      <gradientFill degree="45">
        <stop position="0">
          <color rgb="FFE1FFF3"/>
        </stop>
        <stop position="1">
          <color rgb="FFCDFFEB"/>
        </stop>
      </gradientFill>
    </fill>
    <fill>
      <gradientFill degree="90">
        <stop position="0">
          <color theme="0"/>
        </stop>
        <stop position="1">
          <color rgb="FFE1FFF3"/>
        </stop>
      </gradientFill>
    </fill>
    <fill>
      <gradientFill degree="90">
        <stop position="0">
          <color rgb="FFE1FFF3"/>
        </stop>
        <stop position="1">
          <color rgb="FFCDFFEB"/>
        </stop>
      </gradientFill>
    </fill>
    <fill>
      <patternFill patternType="solid">
        <fgColor rgb="FFFFFF00"/>
        <bgColor indexed="64"/>
      </patternFill>
    </fill>
    <fill>
      <gradientFill degree="90">
        <stop position="0">
          <color rgb="FFFFB9B9"/>
        </stop>
        <stop position="1">
          <color rgb="FFFF8585"/>
        </stop>
      </gradientFill>
    </fill>
    <fill>
      <gradientFill degree="90">
        <stop position="0">
          <color rgb="FFC5FDB1"/>
        </stop>
        <stop position="1">
          <color rgb="FF85FB5B"/>
        </stop>
      </gradientFill>
    </fill>
    <fill>
      <patternFill patternType="solid">
        <fgColor rgb="FFE6E6E6"/>
        <bgColor indexed="64"/>
      </patternFill>
    </fill>
    <fill>
      <patternFill patternType="solid">
        <fgColor rgb="FFE6E6E6"/>
        <bgColor auto="1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14996795556505021"/>
      </left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 style="thin">
        <color theme="1" tint="0.14996795556505021"/>
      </bottom>
      <diagonal/>
    </border>
    <border>
      <left/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14996795556505021"/>
      </left>
      <right/>
      <top style="thin">
        <color theme="1" tint="0.14996795556505021"/>
      </top>
      <bottom/>
      <diagonal/>
    </border>
    <border>
      <left/>
      <right/>
      <top style="thin">
        <color theme="1" tint="0.14996795556505021"/>
      </top>
      <bottom/>
      <diagonal/>
    </border>
    <border>
      <left/>
      <right style="thin">
        <color theme="1" tint="0.14996795556505021"/>
      </right>
      <top style="thin">
        <color theme="1" tint="0.14996795556505021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left" indent="1"/>
    </xf>
    <xf numFmtId="21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21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left" indent="1"/>
    </xf>
    <xf numFmtId="0" fontId="3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 indent="1"/>
    </xf>
    <xf numFmtId="0" fontId="6" fillId="3" borderId="0" xfId="0" applyFont="1" applyFill="1" applyAlignment="1">
      <alignment vertical="top"/>
    </xf>
    <xf numFmtId="0" fontId="6" fillId="3" borderId="0" xfId="0" applyFont="1" applyFill="1"/>
    <xf numFmtId="0" fontId="0" fillId="4" borderId="0" xfId="0" applyFill="1"/>
    <xf numFmtId="0" fontId="4" fillId="0" borderId="0" xfId="0" applyFont="1" applyAlignment="1">
      <alignment horizontal="center"/>
    </xf>
    <xf numFmtId="167" fontId="4" fillId="9" borderId="0" xfId="0" applyNumberFormat="1" applyFont="1" applyFill="1" applyAlignment="1">
      <alignment horizontal="center"/>
    </xf>
    <xf numFmtId="7" fontId="4" fillId="0" borderId="0" xfId="0" applyNumberFormat="1" applyFont="1" applyAlignment="1">
      <alignment horizontal="left" indent="1"/>
    </xf>
    <xf numFmtId="166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left" indent="1"/>
    </xf>
    <xf numFmtId="165" fontId="7" fillId="0" borderId="0" xfId="0" applyNumberFormat="1" applyFont="1" applyAlignment="1">
      <alignment horizontal="center"/>
    </xf>
    <xf numFmtId="49" fontId="7" fillId="9" borderId="0" xfId="0" applyNumberFormat="1" applyFont="1" applyFill="1" applyAlignment="1">
      <alignment horizontal="left" indent="1"/>
    </xf>
    <xf numFmtId="14" fontId="7" fillId="0" borderId="0" xfId="0" applyNumberFormat="1" applyFont="1" applyAlignment="1">
      <alignment horizontal="center"/>
    </xf>
    <xf numFmtId="49" fontId="4" fillId="9" borderId="0" xfId="0" applyNumberFormat="1" applyFont="1" applyFill="1" applyAlignment="1">
      <alignment horizontal="left" indent="1"/>
    </xf>
    <xf numFmtId="166" fontId="4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3" borderId="0" xfId="0" applyFill="1"/>
    <xf numFmtId="0" fontId="0" fillId="12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7" borderId="0" xfId="0" applyFill="1"/>
    <xf numFmtId="0" fontId="5" fillId="2" borderId="4" xfId="0" applyFont="1" applyFill="1" applyBorder="1" applyAlignment="1">
      <alignment horizontal="left" vertical="center" indent="3"/>
    </xf>
    <xf numFmtId="0" fontId="5" fillId="2" borderId="5" xfId="0" applyFont="1" applyFill="1" applyBorder="1" applyAlignment="1">
      <alignment horizontal="left" vertical="center" indent="3"/>
    </xf>
    <xf numFmtId="0" fontId="5" fillId="2" borderId="6" xfId="0" applyFont="1" applyFill="1" applyBorder="1" applyAlignment="1">
      <alignment horizontal="left" vertical="center" indent="3"/>
    </xf>
    <xf numFmtId="0" fontId="5" fillId="2" borderId="7" xfId="0" applyFont="1" applyFill="1" applyBorder="1" applyAlignment="1">
      <alignment horizontal="left" vertical="center" indent="3"/>
    </xf>
    <xf numFmtId="0" fontId="5" fillId="2" borderId="8" xfId="0" applyFont="1" applyFill="1" applyBorder="1" applyAlignment="1">
      <alignment horizontal="left" vertical="center" indent="3"/>
    </xf>
    <xf numFmtId="0" fontId="5" fillId="2" borderId="9" xfId="0" applyFont="1" applyFill="1" applyBorder="1" applyAlignment="1">
      <alignment horizontal="left" vertical="center" indent="3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6" fillId="12" borderId="0" xfId="0" applyFont="1" applyFill="1"/>
    <xf numFmtId="0" fontId="5" fillId="13" borderId="0" xfId="0" applyFont="1" applyFill="1" applyBorder="1" applyAlignment="1">
      <alignment horizontal="left" vertical="center" indent="3"/>
    </xf>
    <xf numFmtId="0" fontId="9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left" indent="1"/>
    </xf>
    <xf numFmtId="7" fontId="4" fillId="12" borderId="0" xfId="0" applyNumberFormat="1" applyFont="1" applyFill="1" applyAlignment="1">
      <alignment horizontal="left" indent="1"/>
    </xf>
  </cellXfs>
  <cellStyles count="1">
    <cellStyle name="Normal" xfId="0" builtinId="0"/>
  </cellStyles>
  <dxfs count="17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5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0" formatCode="@"/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6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5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6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5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6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7" formatCode="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Segoe UI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Segoe UI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7" formatCode="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1" tint="0.34998626667073579"/>
      </font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  <horizontal/>
      </border>
    </dxf>
    <dxf>
      <font>
        <b/>
        <i val="0"/>
        <color theme="0"/>
      </font>
      <fill>
        <patternFill>
          <bgColor theme="1" tint="0.24994659260841701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0" tint="-0.14996795556505021"/>
        </vertical>
        <horizontal style="thin">
          <color theme="0" tint="-0.24994659260841701"/>
        </horizontal>
      </border>
    </dxf>
  </dxfs>
  <tableStyles count="1" defaultTableStyle="TableStyleMedium2" defaultPivotStyle="PivotStyleLight16">
    <tableStyle name="Estilo de Tabela 1" pivot="0" count="3" xr9:uid="{00000000-0011-0000-FFFF-FFFF00000000}">
      <tableStyleElement type="wholeTable" dxfId="172"/>
      <tableStyleElement type="headerRow" dxfId="171"/>
      <tableStyleElement type="firstColumn" dxfId="170"/>
    </tableStyle>
  </tableStyles>
  <colors>
    <mruColors>
      <color rgb="FFE6E6E6"/>
      <color rgb="FFC5FDB1"/>
      <color rgb="FF85FB5B"/>
      <color rgb="FFFF8585"/>
      <color rgb="FFFF7171"/>
      <color rgb="FFFFB9B9"/>
      <color rgb="FFFF4343"/>
      <color rgb="FFFF9F9F"/>
      <color rgb="FFFF5555"/>
      <color rgb="FFAEFC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Nov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Nov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367665</xdr:colOff>
      <xdr:row>7</xdr:row>
      <xdr:rowOff>76200</xdr:rowOff>
    </xdr:from>
    <xdr:to>
      <xdr:col>21</xdr:col>
      <xdr:colOff>436245</xdr:colOff>
      <xdr:row>26</xdr:row>
      <xdr:rowOff>53340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11665" y="1173480"/>
          <a:ext cx="3726180" cy="3451860"/>
        </a:xfrm>
        <a:prstGeom prst="roundRect">
          <a:avLst>
            <a:gd name="adj" fmla="val 2072"/>
          </a:avLst>
        </a:prstGeom>
        <a:solidFill>
          <a:schemeClr val="bg1"/>
        </a:solidFill>
        <a:ln>
          <a:noFill/>
        </a:ln>
        <a:effectLst>
          <a:outerShdw blurRad="76200" dist="50800" dir="2700000" algn="tl" rotWithShape="0">
            <a:prstClr val="black">
              <a:alpha val="3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88000" tIns="180000" bIns="108000" rtlCol="0" anchor="t"/>
        <a:lstStyle/>
        <a:p>
          <a:pPr marL="0" marR="0" lvl="0" indent="0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solidFill>
                  <a:prstClr val="black">
                    <a:lumMod val="75000"/>
                    <a:lumOff val="25000"/>
                  </a:prstClr>
                </a:solidFill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Bem-vindo</a:t>
          </a:r>
        </a:p>
        <a:p>
          <a:pPr marL="0" marR="0" lvl="0" indent="0" defTabSz="914400" eaLnBrk="1" fontAlgn="auto" latinLnBrk="0" hangingPunct="1">
            <a:lnSpc>
              <a:spcPct val="2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solidFill>
                <a:prstClr val="black">
                  <a:lumMod val="75000"/>
                  <a:lumOff val="25000"/>
                </a:prstClr>
              </a:solidFill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Usuário</a:t>
          </a: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Senha</a:t>
          </a: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chemeClr val="lt1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18</xdr:row>
      <xdr:rowOff>91440</xdr:rowOff>
    </xdr:from>
    <xdr:to>
      <xdr:col>21</xdr:col>
      <xdr:colOff>121155</xdr:colOff>
      <xdr:row>20</xdr:row>
      <xdr:rowOff>85680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826755" y="320040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13</xdr:row>
      <xdr:rowOff>152400</xdr:rowOff>
    </xdr:from>
    <xdr:to>
      <xdr:col>21</xdr:col>
      <xdr:colOff>121155</xdr:colOff>
      <xdr:row>15</xdr:row>
      <xdr:rowOff>146640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826755" y="234696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129540</xdr:colOff>
          <xdr:row>14</xdr:row>
          <xdr:rowOff>38100</xdr:rowOff>
        </xdr:from>
        <xdr:to>
          <xdr:col>21</xdr:col>
          <xdr:colOff>83820</xdr:colOff>
          <xdr:row>15</xdr:row>
          <xdr:rowOff>106680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129540</xdr:colOff>
          <xdr:row>18</xdr:row>
          <xdr:rowOff>152400</xdr:rowOff>
        </xdr:from>
        <xdr:to>
          <xdr:col>21</xdr:col>
          <xdr:colOff>83820</xdr:colOff>
          <xdr:row>20</xdr:row>
          <xdr:rowOff>45720</xdr:rowOff>
        </xdr:to>
        <xdr:sp macro="" textlink="">
          <xdr:nvSpPr>
            <xdr:cNvPr id="1026" name="Text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365760</xdr:colOff>
          <xdr:row>35</xdr:row>
          <xdr:rowOff>106680</xdr:rowOff>
        </xdr:from>
        <xdr:to>
          <xdr:col>23</xdr:col>
          <xdr:colOff>594360</xdr:colOff>
          <xdr:row>37</xdr:row>
          <xdr:rowOff>0</xdr:rowOff>
        </xdr:to>
        <xdr:sp macro="" textlink="">
          <xdr:nvSpPr>
            <xdr:cNvPr id="1032" name="logginBt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243840</xdr:colOff>
      <xdr:row>22</xdr:row>
      <xdr:rowOff>130675</xdr:rowOff>
    </xdr:from>
    <xdr:to>
      <xdr:col>19</xdr:col>
      <xdr:colOff>560070</xdr:colOff>
      <xdr:row>24</xdr:row>
      <xdr:rowOff>128405</xdr:rowOff>
    </xdr:to>
    <xdr:sp macro="[0]!loggin_A" textlink="">
      <xdr:nvSpPr>
        <xdr:cNvPr id="10" name="logginStyl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607040" y="3971155"/>
          <a:ext cx="1535430" cy="363490"/>
        </a:xfrm>
        <a:prstGeom prst="roundRect">
          <a:avLst>
            <a:gd name="adj" fmla="val 39081"/>
          </a:avLst>
        </a:prstGeom>
        <a:gradFill>
          <a:gsLst>
            <a:gs pos="0">
              <a:srgbClr val="00C0B2">
                <a:lumMod val="60000"/>
                <a:lumOff val="40000"/>
              </a:srgbClr>
            </a:gs>
            <a:gs pos="60000">
              <a:srgbClr val="00C0B2"/>
            </a:gs>
            <a:gs pos="83000">
              <a:srgbClr val="00C0B2">
                <a:lumMod val="100000"/>
              </a:srgbClr>
            </a:gs>
            <a:gs pos="100000">
              <a:srgbClr val="00C0B2">
                <a:lumMod val="95000"/>
                <a:lumOff val="5000"/>
              </a:srgbClr>
            </a:gs>
          </a:gsLst>
          <a:lin ang="5400000" scaled="1"/>
        </a:gradFill>
        <a:ln w="6350" cap="flat" cmpd="sng" algn="ctr">
          <a:noFill/>
          <a:prstDash val="dash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tx1"/>
              </a:solidFill>
              <a:prstDash val="dash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ACESSAR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982980</xdr:colOff>
      <xdr:row>2</xdr:row>
      <xdr:rowOff>7620</xdr:rowOff>
    </xdr:from>
    <xdr:to>
      <xdr:col>5</xdr:col>
      <xdr:colOff>7620</xdr:colOff>
      <xdr:row>3</xdr:row>
      <xdr:rowOff>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766060" y="647700"/>
          <a:ext cx="2301240" cy="89154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286682</xdr:colOff>
      <xdr:row>2</xdr:row>
      <xdr:rowOff>167640</xdr:rowOff>
    </xdr:from>
    <xdr:ext cx="1712636" cy="375359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3060362" y="807720"/>
          <a:ext cx="1712636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LISTA</a:t>
          </a:r>
          <a:r>
            <a:rPr lang="en-US" sz="14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 DE USUARIOS</a:t>
          </a:r>
          <a:endParaRPr lang="en-US" sz="14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0</xdr:colOff>
      <xdr:row>2</xdr:row>
      <xdr:rowOff>0</xdr:rowOff>
    </xdr:from>
    <xdr:to>
      <xdr:col>1</xdr:col>
      <xdr:colOff>1764000</xdr:colOff>
      <xdr:row>19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0" y="640080"/>
          <a:ext cx="1764000" cy="390906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15240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0" y="0"/>
          <a:ext cx="12298680" cy="65532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62937</xdr:colOff>
      <xdr:row>0</xdr:row>
      <xdr:rowOff>52493</xdr:rowOff>
    </xdr:from>
    <xdr:ext cx="1278184" cy="444352"/>
    <xdr:sp macro="" textlink="B1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62937" y="52493"/>
          <a:ext cx="1278184" cy="4443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6DD5F04-547D-42B7-AF46-94B69FD409B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/>
            <a:t>Bem Vindo, Administrador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3</xdr:row>
      <xdr:rowOff>7620</xdr:rowOff>
    </xdr:from>
    <xdr:to>
      <xdr:col>1</xdr:col>
      <xdr:colOff>1764000</xdr:colOff>
      <xdr:row>5</xdr:row>
      <xdr:rowOff>198420</xdr:rowOff>
    </xdr:to>
    <xdr:sp macro="" textlink="">
      <xdr:nvSpPr>
        <xdr:cNvPr id="16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195834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oneCell">
    <xdr:from>
      <xdr:col>0</xdr:col>
      <xdr:colOff>0</xdr:colOff>
      <xdr:row>5</xdr:row>
      <xdr:rowOff>196215</xdr:rowOff>
    </xdr:from>
    <xdr:to>
      <xdr:col>1</xdr:col>
      <xdr:colOff>1764000</xdr:colOff>
      <xdr:row>8</xdr:row>
      <xdr:rowOff>158415</xdr:rowOff>
    </xdr:to>
    <xdr:sp macro="" textlink="">
      <xdr:nvSpPr>
        <xdr:cNvPr id="17" name="Retângul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260413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oneCell">
    <xdr:from>
      <xdr:col>0</xdr:col>
      <xdr:colOff>0</xdr:colOff>
      <xdr:row>8</xdr:row>
      <xdr:rowOff>156210</xdr:rowOff>
    </xdr:from>
    <xdr:to>
      <xdr:col>1</xdr:col>
      <xdr:colOff>1764000</xdr:colOff>
      <xdr:row>11</xdr:row>
      <xdr:rowOff>118410</xdr:rowOff>
    </xdr:to>
    <xdr:sp macro="" textlink="">
      <xdr:nvSpPr>
        <xdr:cNvPr id="18" name="Retângul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0" y="324993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oneCell">
    <xdr:from>
      <xdr:col>0</xdr:col>
      <xdr:colOff>0</xdr:colOff>
      <xdr:row>11</xdr:row>
      <xdr:rowOff>116205</xdr:rowOff>
    </xdr:from>
    <xdr:to>
      <xdr:col>1</xdr:col>
      <xdr:colOff>1764000</xdr:colOff>
      <xdr:row>14</xdr:row>
      <xdr:rowOff>78405</xdr:rowOff>
    </xdr:to>
    <xdr:sp macro="" textlink="">
      <xdr:nvSpPr>
        <xdr:cNvPr id="19" name="Retângul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0" y="389572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14</xdr:col>
      <xdr:colOff>230576</xdr:colOff>
      <xdr:row>0</xdr:row>
      <xdr:rowOff>105833</xdr:rowOff>
    </xdr:from>
    <xdr:to>
      <xdr:col>15</xdr:col>
      <xdr:colOff>223039</xdr:colOff>
      <xdr:row>0</xdr:row>
      <xdr:rowOff>371098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1131005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4" name="Conector de Seta Reta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D3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oneCell">
    <xdr:from>
      <xdr:col>0</xdr:col>
      <xdr:colOff>0</xdr:colOff>
      <xdr:row>14</xdr:row>
      <xdr:rowOff>76200</xdr:rowOff>
    </xdr:from>
    <xdr:to>
      <xdr:col>1</xdr:col>
      <xdr:colOff>1764000</xdr:colOff>
      <xdr:row>17</xdr:row>
      <xdr:rowOff>38400</xdr:rowOff>
    </xdr:to>
    <xdr:sp macro="" textlink="">
      <xdr:nvSpPr>
        <xdr:cNvPr id="25" name="Retângul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454152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2</xdr:col>
      <xdr:colOff>899249</xdr:colOff>
      <xdr:row>0</xdr:row>
      <xdr:rowOff>144780</xdr:rowOff>
    </xdr:from>
    <xdr:ext cx="5821503" cy="375359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682329" y="14478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PAINEL</a:t>
          </a:r>
          <a:r>
            <a:rPr lang="en-US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 DE CONFIGURAÇÕES DO ADMINISTRADOR</a:t>
          </a:r>
          <a:endParaRPr lang="en-US" sz="16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</a:endParaRPr>
        </a:p>
      </xdr:txBody>
    </xdr:sp>
    <xdr:clientData/>
  </xdr:oneCellAnchor>
  <xdr:oneCellAnchor>
    <xdr:from>
      <xdr:col>1</xdr:col>
      <xdr:colOff>62850</xdr:colOff>
      <xdr:row>2</xdr:row>
      <xdr:rowOff>160020</xdr:rowOff>
    </xdr:from>
    <xdr:ext cx="1638300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62850" y="800100"/>
          <a:ext cx="1638300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LINKS DE ACESSO</a:t>
          </a:r>
        </a:p>
      </xdr:txBody>
    </xdr:sp>
    <xdr:clientData/>
  </xdr:oneCellAnchor>
  <xdr:twoCellAnchor>
    <xdr:from>
      <xdr:col>2</xdr:col>
      <xdr:colOff>982980</xdr:colOff>
      <xdr:row>12</xdr:row>
      <xdr:rowOff>7620</xdr:rowOff>
    </xdr:from>
    <xdr:to>
      <xdr:col>5</xdr:col>
      <xdr:colOff>7620</xdr:colOff>
      <xdr:row>19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766060" y="3147060"/>
          <a:ext cx="1844040" cy="140970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807719</xdr:colOff>
      <xdr:row>1</xdr:row>
      <xdr:rowOff>149630</xdr:rowOff>
    </xdr:from>
    <xdr:to>
      <xdr:col>7</xdr:col>
      <xdr:colOff>2571719</xdr:colOff>
      <xdr:row>1</xdr:row>
      <xdr:rowOff>473630</xdr:rowOff>
    </xdr:to>
    <xdr:sp macro="[0]!iniciaCada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887199" y="79733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CADASTRAR / ATUALIZAR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900</xdr:colOff>
      <xdr:row>1</xdr:row>
      <xdr:rowOff>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138312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0319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62936" y="105833"/>
          <a:ext cx="90319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7</xdr:col>
      <xdr:colOff>1734836</xdr:colOff>
      <xdr:row>0</xdr:row>
      <xdr:rowOff>105833</xdr:rowOff>
    </xdr:from>
    <xdr:to>
      <xdr:col>7</xdr:col>
      <xdr:colOff>2420719</xdr:colOff>
      <xdr:row>0</xdr:row>
      <xdr:rowOff>371098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12814316" y="105833"/>
          <a:ext cx="685883" cy="265265"/>
          <a:chOff x="12712136" y="105833"/>
          <a:chExt cx="685883" cy="265265"/>
        </a:xfrm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8" name="Conector de Seta Reta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CADASTRO E ESTOQUE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absolute">
    <xdr:from>
      <xdr:col>2</xdr:col>
      <xdr:colOff>1094160</xdr:colOff>
      <xdr:row>0</xdr:row>
      <xdr:rowOff>0</xdr:rowOff>
    </xdr:from>
    <xdr:to>
      <xdr:col>4</xdr:col>
      <xdr:colOff>38760</xdr:colOff>
      <xdr:row>1</xdr:row>
      <xdr:rowOff>300</xdr:rowOff>
    </xdr:to>
    <xdr:sp macro="" textlink="">
      <xdr:nvSpPr>
        <xdr:cNvPr id="22" name="Retângul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875085</xdr:colOff>
      <xdr:row>0</xdr:row>
      <xdr:rowOff>0</xdr:rowOff>
    </xdr:from>
    <xdr:to>
      <xdr:col>4</xdr:col>
      <xdr:colOff>1724685</xdr:colOff>
      <xdr:row>1</xdr:row>
      <xdr:rowOff>300</xdr:rowOff>
    </xdr:to>
    <xdr:sp macro="" textlink="">
      <xdr:nvSpPr>
        <xdr:cNvPr id="23" name="Retângulo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1646610</xdr:colOff>
      <xdr:row>0</xdr:row>
      <xdr:rowOff>0</xdr:rowOff>
    </xdr:from>
    <xdr:to>
      <xdr:col>5</xdr:col>
      <xdr:colOff>1505610</xdr:colOff>
      <xdr:row>1</xdr:row>
      <xdr:rowOff>300</xdr:rowOff>
    </xdr:to>
    <xdr:sp macro="" textlink="">
      <xdr:nvSpPr>
        <xdr:cNvPr id="24" name="Retângulo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5</xdr:col>
      <xdr:colOff>1427535</xdr:colOff>
      <xdr:row>0</xdr:row>
      <xdr:rowOff>0</xdr:rowOff>
    </xdr:from>
    <xdr:to>
      <xdr:col>5</xdr:col>
      <xdr:colOff>3191535</xdr:colOff>
      <xdr:row>1</xdr:row>
      <xdr:rowOff>300</xdr:rowOff>
    </xdr:to>
    <xdr:sp macro="" textlink="">
      <xdr:nvSpPr>
        <xdr:cNvPr id="25" name="Retângulo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5</xdr:col>
      <xdr:colOff>3113460</xdr:colOff>
      <xdr:row>0</xdr:row>
      <xdr:rowOff>0</xdr:rowOff>
    </xdr:from>
    <xdr:to>
      <xdr:col>6</xdr:col>
      <xdr:colOff>518820</xdr:colOff>
      <xdr:row>1</xdr:row>
      <xdr:rowOff>300</xdr:rowOff>
    </xdr:to>
    <xdr:sp macro="" textlink="">
      <xdr:nvSpPr>
        <xdr:cNvPr id="26" name="Retângulo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CADASTRO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>
    <xdr:from>
      <xdr:col>5</xdr:col>
      <xdr:colOff>4213859</xdr:colOff>
      <xdr:row>1</xdr:row>
      <xdr:rowOff>149630</xdr:rowOff>
    </xdr:from>
    <xdr:to>
      <xdr:col>6</xdr:col>
      <xdr:colOff>1722120</xdr:colOff>
      <xdr:row>1</xdr:row>
      <xdr:rowOff>473630</xdr:rowOff>
    </xdr:to>
    <xdr:sp macro="[0]!iniciaCadastro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9806939" y="797330"/>
          <a:ext cx="1866901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CADASTRAR / ATUALIZAR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300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0" y="0"/>
          <a:ext cx="1360932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6</xdr:col>
      <xdr:colOff>1074420</xdr:colOff>
      <xdr:row>0</xdr:row>
      <xdr:rowOff>105833</xdr:rowOff>
    </xdr:from>
    <xdr:to>
      <xdr:col>6</xdr:col>
      <xdr:colOff>1760303</xdr:colOff>
      <xdr:row>0</xdr:row>
      <xdr:rowOff>371098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pSpPr/>
      </xdr:nvGrpSpPr>
      <xdr:grpSpPr>
        <a:xfrm>
          <a:off x="11026140" y="105833"/>
          <a:ext cx="685883" cy="265265"/>
          <a:chOff x="12712136" y="105833"/>
          <a:chExt cx="685883" cy="26526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36" name="Conector de Seta Reta 35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34" name="CaixaDeTexto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2</xdr:col>
      <xdr:colOff>1094160</xdr:colOff>
      <xdr:row>0</xdr:row>
      <xdr:rowOff>0</xdr:rowOff>
    </xdr:from>
    <xdr:to>
      <xdr:col>3</xdr:col>
      <xdr:colOff>945540</xdr:colOff>
      <xdr:row>1</xdr:row>
      <xdr:rowOff>300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867465</xdr:colOff>
      <xdr:row>0</xdr:row>
      <xdr:rowOff>0</xdr:rowOff>
    </xdr:from>
    <xdr:to>
      <xdr:col>4</xdr:col>
      <xdr:colOff>1488465</xdr:colOff>
      <xdr:row>1</xdr:row>
      <xdr:rowOff>300</xdr:rowOff>
    </xdr:to>
    <xdr:sp macro="" textlink="">
      <xdr:nvSpPr>
        <xdr:cNvPr id="38" name="Retângulo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1410390</xdr:colOff>
      <xdr:row>0</xdr:row>
      <xdr:rowOff>0</xdr:rowOff>
    </xdr:from>
    <xdr:to>
      <xdr:col>5</xdr:col>
      <xdr:colOff>1261770</xdr:colOff>
      <xdr:row>1</xdr:row>
      <xdr:rowOff>300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5</xdr:col>
      <xdr:colOff>1183695</xdr:colOff>
      <xdr:row>0</xdr:row>
      <xdr:rowOff>0</xdr:rowOff>
    </xdr:from>
    <xdr:to>
      <xdr:col>5</xdr:col>
      <xdr:colOff>2947695</xdr:colOff>
      <xdr:row>1</xdr:row>
      <xdr:rowOff>300</xdr:rowOff>
    </xdr:to>
    <xdr:sp macro="" textlink="">
      <xdr:nvSpPr>
        <xdr:cNvPr id="40" name="Retângulo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5</xdr:col>
      <xdr:colOff>2869620</xdr:colOff>
      <xdr:row>0</xdr:row>
      <xdr:rowOff>0</xdr:rowOff>
    </xdr:from>
    <xdr:to>
      <xdr:col>6</xdr:col>
      <xdr:colOff>274980</xdr:colOff>
      <xdr:row>1</xdr:row>
      <xdr:rowOff>300</xdr:rowOff>
    </xdr:to>
    <xdr:sp macro="" textlink="">
      <xdr:nvSpPr>
        <xdr:cNvPr id="41" name="Retângulo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807719</xdr:colOff>
      <xdr:row>1</xdr:row>
      <xdr:rowOff>149630</xdr:rowOff>
    </xdr:from>
    <xdr:to>
      <xdr:col>6</xdr:col>
      <xdr:colOff>2571719</xdr:colOff>
      <xdr:row>1</xdr:row>
      <xdr:rowOff>473630</xdr:rowOff>
    </xdr:to>
    <xdr:sp macro="[0]!iniciaCada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887199" y="79733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CADASTRAR / ATUALIZAR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900</xdr:colOff>
      <xdr:row>1</xdr:row>
      <xdr:rowOff>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0"/>
          <a:ext cx="1382358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6</xdr:col>
      <xdr:colOff>1734836</xdr:colOff>
      <xdr:row>0</xdr:row>
      <xdr:rowOff>105833</xdr:rowOff>
    </xdr:from>
    <xdr:to>
      <xdr:col>6</xdr:col>
      <xdr:colOff>2420719</xdr:colOff>
      <xdr:row>0</xdr:row>
      <xdr:rowOff>371098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0231136" y="105833"/>
          <a:ext cx="685883" cy="265265"/>
          <a:chOff x="12712136" y="105833"/>
          <a:chExt cx="685883" cy="265265"/>
        </a:xfrm>
      </xdr:grpSpPr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9" name="Conector de Seta Reta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ESTOQUE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absolute">
    <xdr:from>
      <xdr:col>3</xdr:col>
      <xdr:colOff>1094160</xdr:colOff>
      <xdr:row>0</xdr:row>
      <xdr:rowOff>0</xdr:rowOff>
    </xdr:from>
    <xdr:to>
      <xdr:col>4</xdr:col>
      <xdr:colOff>953160</xdr:colOff>
      <xdr:row>1</xdr:row>
      <xdr:rowOff>300</xdr:rowOff>
    </xdr:to>
    <xdr:sp macro="" textlink="">
      <xdr:nvSpPr>
        <xdr:cNvPr id="11" name="Retângul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4</xdr:col>
      <xdr:colOff>875085</xdr:colOff>
      <xdr:row>0</xdr:row>
      <xdr:rowOff>0</xdr:rowOff>
    </xdr:from>
    <xdr:to>
      <xdr:col>4</xdr:col>
      <xdr:colOff>2639085</xdr:colOff>
      <xdr:row>1</xdr:row>
      <xdr:rowOff>300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2561010</xdr:colOff>
      <xdr:row>0</xdr:row>
      <xdr:rowOff>0</xdr:rowOff>
    </xdr:from>
    <xdr:to>
      <xdr:col>4</xdr:col>
      <xdr:colOff>4317390</xdr:colOff>
      <xdr:row>1</xdr:row>
      <xdr:rowOff>300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4</xdr:col>
      <xdr:colOff>4239315</xdr:colOff>
      <xdr:row>0</xdr:row>
      <xdr:rowOff>0</xdr:rowOff>
    </xdr:from>
    <xdr:to>
      <xdr:col>6</xdr:col>
      <xdr:colOff>44475</xdr:colOff>
      <xdr:row>1</xdr:row>
      <xdr:rowOff>300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5</xdr:col>
      <xdr:colOff>1566600</xdr:colOff>
      <xdr:row>0</xdr:row>
      <xdr:rowOff>0</xdr:rowOff>
    </xdr:from>
    <xdr:to>
      <xdr:col>6</xdr:col>
      <xdr:colOff>1730400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861060</xdr:colOff>
      <xdr:row>0</xdr:row>
      <xdr:rowOff>38100</xdr:rowOff>
    </xdr:from>
    <xdr:ext cx="108000" cy="180000"/>
    <xdr:sp macro="[0]!remMov" textlink="">
      <xdr:nvSpPr>
        <xdr:cNvPr id="20" name="rem_0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13830300" y="38100"/>
          <a:ext cx="108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11</xdr:col>
      <xdr:colOff>7620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140589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0319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2936" y="105833"/>
          <a:ext cx="90319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3</xdr:col>
      <xdr:colOff>1036980</xdr:colOff>
      <xdr:row>1</xdr:row>
      <xdr:rowOff>300</xdr:rowOff>
    </xdr:to>
    <xdr:sp macro="" textlink="">
      <xdr:nvSpPr>
        <xdr:cNvPr id="23" name="Retângulo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958905</xdr:colOff>
      <xdr:row>0</xdr:row>
      <xdr:rowOff>0</xdr:rowOff>
    </xdr:from>
    <xdr:to>
      <xdr:col>4</xdr:col>
      <xdr:colOff>1198905</xdr:colOff>
      <xdr:row>1</xdr:row>
      <xdr:rowOff>300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1120830</xdr:colOff>
      <xdr:row>0</xdr:row>
      <xdr:rowOff>0</xdr:rowOff>
    </xdr:from>
    <xdr:to>
      <xdr:col>5</xdr:col>
      <xdr:colOff>1360830</xdr:colOff>
      <xdr:row>1</xdr:row>
      <xdr:rowOff>300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HISTORICO DE</a:t>
          </a:r>
          <a:b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</a:br>
          <a: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MOVIMENTAÇÃO</a:t>
          </a:r>
          <a:endParaRPr lang="pt-BR" sz="100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absolute">
    <xdr:from>
      <xdr:col>5</xdr:col>
      <xdr:colOff>1282755</xdr:colOff>
      <xdr:row>0</xdr:row>
      <xdr:rowOff>0</xdr:rowOff>
    </xdr:from>
    <xdr:to>
      <xdr:col>6</xdr:col>
      <xdr:colOff>1522755</xdr:colOff>
      <xdr:row>1</xdr:row>
      <xdr:rowOff>300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HISTORICO DE MOVIMENTAÇÕES DE ESTOQUE</a:t>
          </a:r>
        </a:p>
      </xdr:txBody>
    </xdr:sp>
    <xdr:clientData/>
  </xdr:oneCellAnchor>
  <xdr:twoCellAnchor editAs="oneCell">
    <xdr:from>
      <xdr:col>8</xdr:col>
      <xdr:colOff>502352</xdr:colOff>
      <xdr:row>1</xdr:row>
      <xdr:rowOff>152400</xdr:rowOff>
    </xdr:from>
    <xdr:to>
      <xdr:col>10</xdr:col>
      <xdr:colOff>894752</xdr:colOff>
      <xdr:row>1</xdr:row>
      <xdr:rowOff>476400</xdr:rowOff>
    </xdr:to>
    <xdr:sp macro="[0]!iniciaMovimentac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2099992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ESTOQUE</a:t>
          </a:r>
        </a:p>
      </xdr:txBody>
    </xdr:sp>
    <xdr:clientData/>
  </xdr:twoCellAnchor>
  <xdr:twoCellAnchor editAs="oneCell">
    <xdr:from>
      <xdr:col>10</xdr:col>
      <xdr:colOff>215336</xdr:colOff>
      <xdr:row>0</xdr:row>
      <xdr:rowOff>105833</xdr:rowOff>
    </xdr:from>
    <xdr:to>
      <xdr:col>10</xdr:col>
      <xdr:colOff>817399</xdr:colOff>
      <xdr:row>0</xdr:row>
      <xdr:rowOff>371098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pSpPr/>
      </xdr:nvGrpSpPr>
      <xdr:grpSpPr>
        <a:xfrm>
          <a:off x="1318457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8" name="Conector de Seta Reta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30" name="CaixaDeTexto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6</xdr:col>
      <xdr:colOff>1444680</xdr:colOff>
      <xdr:row>0</xdr:row>
      <xdr:rowOff>0</xdr:rowOff>
    </xdr:from>
    <xdr:to>
      <xdr:col>7</xdr:col>
      <xdr:colOff>1684680</xdr:colOff>
      <xdr:row>1</xdr:row>
      <xdr:rowOff>300</xdr:rowOff>
    </xdr:to>
    <xdr:sp macro="" textlink="">
      <xdr:nvSpPr>
        <xdr:cNvPr id="36" name="Retângulo 3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7</xdr:col>
      <xdr:colOff>1584392</xdr:colOff>
      <xdr:row>1</xdr:row>
      <xdr:rowOff>152400</xdr:rowOff>
    </xdr:from>
    <xdr:to>
      <xdr:col>8</xdr:col>
      <xdr:colOff>300392</xdr:colOff>
      <xdr:row>1</xdr:row>
      <xdr:rowOff>476400</xdr:rowOff>
    </xdr:to>
    <xdr:sp macro="[0]!multiMoviment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134032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POR LOTE</a:t>
          </a:r>
        </a:p>
      </xdr:txBody>
    </xdr:sp>
    <xdr:clientData/>
  </xdr:twoCellAnchor>
  <xdr:oneCellAnchor>
    <xdr:from>
      <xdr:col>10</xdr:col>
      <xdr:colOff>505020</xdr:colOff>
      <xdr:row>3</xdr:row>
      <xdr:rowOff>43350</xdr:rowOff>
    </xdr:from>
    <xdr:ext cx="68580" cy="180000"/>
    <xdr:sp macro="[0]!remMov" textlink="">
      <xdr:nvSpPr>
        <xdr:cNvPr id="107" name="rem_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 txBox="1"/>
      </xdr:nvSpPr>
      <xdr:spPr>
        <a:xfrm>
          <a:off x="13474260" y="1567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</xdr:row>
      <xdr:rowOff>43350</xdr:rowOff>
    </xdr:from>
    <xdr:ext cx="68580" cy="180000"/>
    <xdr:sp macro="[0]!remMov" textlink="">
      <xdr:nvSpPr>
        <xdr:cNvPr id="108" name="rem_2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 txBox="1"/>
      </xdr:nvSpPr>
      <xdr:spPr>
        <a:xfrm>
          <a:off x="13474260" y="1834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</xdr:row>
      <xdr:rowOff>43350</xdr:rowOff>
    </xdr:from>
    <xdr:ext cx="68580" cy="180000"/>
    <xdr:sp macro="[0]!remMov" textlink="">
      <xdr:nvSpPr>
        <xdr:cNvPr id="109" name="rem_3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 txBox="1"/>
      </xdr:nvSpPr>
      <xdr:spPr>
        <a:xfrm>
          <a:off x="13474260" y="2100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</xdr:row>
      <xdr:rowOff>43350</xdr:rowOff>
    </xdr:from>
    <xdr:ext cx="68580" cy="180000"/>
    <xdr:sp macro="[0]!remMov" textlink="">
      <xdr:nvSpPr>
        <xdr:cNvPr id="110" name="rem_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 txBox="1"/>
      </xdr:nvSpPr>
      <xdr:spPr>
        <a:xfrm>
          <a:off x="13474260" y="23674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7</xdr:row>
      <xdr:rowOff>43350</xdr:rowOff>
    </xdr:from>
    <xdr:ext cx="68580" cy="180000"/>
    <xdr:sp macro="[0]!remMov" textlink="">
      <xdr:nvSpPr>
        <xdr:cNvPr id="111" name="rem_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 txBox="1"/>
      </xdr:nvSpPr>
      <xdr:spPr>
        <a:xfrm>
          <a:off x="13474260" y="26341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8</xdr:row>
      <xdr:rowOff>43350</xdr:rowOff>
    </xdr:from>
    <xdr:ext cx="68580" cy="180000"/>
    <xdr:sp macro="[0]!remMov" textlink="">
      <xdr:nvSpPr>
        <xdr:cNvPr id="112" name="rem_6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 txBox="1"/>
      </xdr:nvSpPr>
      <xdr:spPr>
        <a:xfrm>
          <a:off x="13474260" y="29008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9</xdr:row>
      <xdr:rowOff>43350</xdr:rowOff>
    </xdr:from>
    <xdr:ext cx="68580" cy="180000"/>
    <xdr:sp macro="[0]!remMov" textlink="">
      <xdr:nvSpPr>
        <xdr:cNvPr id="113" name="rem_7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 txBox="1"/>
      </xdr:nvSpPr>
      <xdr:spPr>
        <a:xfrm>
          <a:off x="13474260" y="31675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10</xdr:row>
      <xdr:rowOff>43350</xdr:rowOff>
    </xdr:from>
    <xdr:ext cx="68580" cy="180000"/>
    <xdr:sp macro="[0]!remMov" textlink="">
      <xdr:nvSpPr>
        <xdr:cNvPr id="114" name="rem_8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 txBox="1"/>
      </xdr:nvSpPr>
      <xdr:spPr>
        <a:xfrm>
          <a:off x="13474260" y="34342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11</xdr:row>
      <xdr:rowOff>43350</xdr:rowOff>
    </xdr:from>
    <xdr:ext cx="68580" cy="180000"/>
    <xdr:sp macro="[0]!remMov" textlink="">
      <xdr:nvSpPr>
        <xdr:cNvPr id="115" name="rem_9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 txBox="1"/>
      </xdr:nvSpPr>
      <xdr:spPr>
        <a:xfrm>
          <a:off x="13474260" y="37009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12</xdr:row>
      <xdr:rowOff>43350</xdr:rowOff>
    </xdr:from>
    <xdr:ext cx="68580" cy="180000"/>
    <xdr:sp macro="[0]!remMov" textlink="">
      <xdr:nvSpPr>
        <xdr:cNvPr id="116" name="rem_10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 txBox="1"/>
      </xdr:nvSpPr>
      <xdr:spPr>
        <a:xfrm>
          <a:off x="13474260" y="39676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13</xdr:row>
      <xdr:rowOff>43350</xdr:rowOff>
    </xdr:from>
    <xdr:ext cx="68580" cy="180000"/>
    <xdr:sp macro="[0]!remMov" textlink="">
      <xdr:nvSpPr>
        <xdr:cNvPr id="117" name="rem_11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 txBox="1"/>
      </xdr:nvSpPr>
      <xdr:spPr>
        <a:xfrm>
          <a:off x="13474260" y="4234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14</xdr:row>
      <xdr:rowOff>43350</xdr:rowOff>
    </xdr:from>
    <xdr:ext cx="68580" cy="180000"/>
    <xdr:sp macro="[0]!remMov" textlink="">
      <xdr:nvSpPr>
        <xdr:cNvPr id="118" name="rem_12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 txBox="1"/>
      </xdr:nvSpPr>
      <xdr:spPr>
        <a:xfrm>
          <a:off x="13474260" y="4501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15</xdr:row>
      <xdr:rowOff>43350</xdr:rowOff>
    </xdr:from>
    <xdr:ext cx="68580" cy="180000"/>
    <xdr:sp macro="[0]!remMov" textlink="">
      <xdr:nvSpPr>
        <xdr:cNvPr id="119" name="rem_13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 txBox="1"/>
      </xdr:nvSpPr>
      <xdr:spPr>
        <a:xfrm>
          <a:off x="13474260" y="4767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16</xdr:row>
      <xdr:rowOff>43350</xdr:rowOff>
    </xdr:from>
    <xdr:ext cx="68580" cy="180000"/>
    <xdr:sp macro="[0]!remMov" textlink="">
      <xdr:nvSpPr>
        <xdr:cNvPr id="120" name="rem_14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 txBox="1"/>
      </xdr:nvSpPr>
      <xdr:spPr>
        <a:xfrm>
          <a:off x="13474260" y="50344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17</xdr:row>
      <xdr:rowOff>43350</xdr:rowOff>
    </xdr:from>
    <xdr:ext cx="68580" cy="180000"/>
    <xdr:sp macro="[0]!remMov" textlink="">
      <xdr:nvSpPr>
        <xdr:cNvPr id="121" name="rem_15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/>
      </xdr:nvSpPr>
      <xdr:spPr>
        <a:xfrm>
          <a:off x="13474260" y="53011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18</xdr:row>
      <xdr:rowOff>43350</xdr:rowOff>
    </xdr:from>
    <xdr:ext cx="68580" cy="180000"/>
    <xdr:sp macro="[0]!remMov" textlink="">
      <xdr:nvSpPr>
        <xdr:cNvPr id="122" name="rem_16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 txBox="1"/>
      </xdr:nvSpPr>
      <xdr:spPr>
        <a:xfrm>
          <a:off x="13474260" y="55678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19</xdr:row>
      <xdr:rowOff>43350</xdr:rowOff>
    </xdr:from>
    <xdr:ext cx="68580" cy="180000"/>
    <xdr:sp macro="[0]!remMov" textlink="">
      <xdr:nvSpPr>
        <xdr:cNvPr id="123" name="rem_17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 txBox="1"/>
      </xdr:nvSpPr>
      <xdr:spPr>
        <a:xfrm>
          <a:off x="13474260" y="58345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20</xdr:row>
      <xdr:rowOff>43350</xdr:rowOff>
    </xdr:from>
    <xdr:ext cx="68580" cy="180000"/>
    <xdr:sp macro="[0]!remMov" textlink="">
      <xdr:nvSpPr>
        <xdr:cNvPr id="124" name="rem_18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 txBox="1"/>
      </xdr:nvSpPr>
      <xdr:spPr>
        <a:xfrm>
          <a:off x="13474260" y="61012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21</xdr:row>
      <xdr:rowOff>43350</xdr:rowOff>
    </xdr:from>
    <xdr:ext cx="68580" cy="180000"/>
    <xdr:sp macro="[0]!remMov" textlink="">
      <xdr:nvSpPr>
        <xdr:cNvPr id="125" name="rem_19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 txBox="1"/>
      </xdr:nvSpPr>
      <xdr:spPr>
        <a:xfrm>
          <a:off x="13474260" y="63679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22</xdr:row>
      <xdr:rowOff>43350</xdr:rowOff>
    </xdr:from>
    <xdr:ext cx="68580" cy="180000"/>
    <xdr:sp macro="[0]!remMov" textlink="">
      <xdr:nvSpPr>
        <xdr:cNvPr id="126" name="rem_20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 txBox="1"/>
      </xdr:nvSpPr>
      <xdr:spPr>
        <a:xfrm>
          <a:off x="13474260" y="66346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23</xdr:row>
      <xdr:rowOff>43350</xdr:rowOff>
    </xdr:from>
    <xdr:ext cx="68580" cy="180000"/>
    <xdr:sp macro="[0]!remMov" textlink="">
      <xdr:nvSpPr>
        <xdr:cNvPr id="127" name="rem_21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 txBox="1"/>
      </xdr:nvSpPr>
      <xdr:spPr>
        <a:xfrm>
          <a:off x="13474260" y="6901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24</xdr:row>
      <xdr:rowOff>43350</xdr:rowOff>
    </xdr:from>
    <xdr:ext cx="68580" cy="180000"/>
    <xdr:sp macro="[0]!remMov" textlink="">
      <xdr:nvSpPr>
        <xdr:cNvPr id="128" name="rem_22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 txBox="1"/>
      </xdr:nvSpPr>
      <xdr:spPr>
        <a:xfrm>
          <a:off x="13474260" y="7168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25</xdr:row>
      <xdr:rowOff>43350</xdr:rowOff>
    </xdr:from>
    <xdr:ext cx="68580" cy="180000"/>
    <xdr:sp macro="[0]!remMov" textlink="">
      <xdr:nvSpPr>
        <xdr:cNvPr id="40" name="rem_23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 txBox="1"/>
      </xdr:nvSpPr>
      <xdr:spPr>
        <a:xfrm>
          <a:off x="13474260" y="7434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26</xdr:row>
      <xdr:rowOff>43350</xdr:rowOff>
    </xdr:from>
    <xdr:ext cx="68580" cy="180000"/>
    <xdr:sp macro="[0]!remMov" textlink="">
      <xdr:nvSpPr>
        <xdr:cNvPr id="41" name="rem_24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13474260" y="77014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27</xdr:row>
      <xdr:rowOff>43350</xdr:rowOff>
    </xdr:from>
    <xdr:ext cx="68580" cy="180000"/>
    <xdr:sp macro="[0]!remMov" textlink="">
      <xdr:nvSpPr>
        <xdr:cNvPr id="42" name="rem_25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13474260" y="79681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28</xdr:row>
      <xdr:rowOff>43350</xdr:rowOff>
    </xdr:from>
    <xdr:ext cx="68580" cy="180000"/>
    <xdr:sp macro="[0]!remMov" textlink="">
      <xdr:nvSpPr>
        <xdr:cNvPr id="43" name="rem_26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 txBox="1"/>
      </xdr:nvSpPr>
      <xdr:spPr>
        <a:xfrm>
          <a:off x="13474260" y="82348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29</xdr:row>
      <xdr:rowOff>43350</xdr:rowOff>
    </xdr:from>
    <xdr:ext cx="68580" cy="180000"/>
    <xdr:sp macro="[0]!remMov" textlink="">
      <xdr:nvSpPr>
        <xdr:cNvPr id="44" name="rem_27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/>
      </xdr:nvSpPr>
      <xdr:spPr>
        <a:xfrm>
          <a:off x="13474260" y="85015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30</xdr:row>
      <xdr:rowOff>43350</xdr:rowOff>
    </xdr:from>
    <xdr:ext cx="68580" cy="180000"/>
    <xdr:sp macro="[0]!remMov" textlink="">
      <xdr:nvSpPr>
        <xdr:cNvPr id="45" name="rem_28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 txBox="1"/>
      </xdr:nvSpPr>
      <xdr:spPr>
        <a:xfrm>
          <a:off x="13474260" y="87682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31</xdr:row>
      <xdr:rowOff>43350</xdr:rowOff>
    </xdr:from>
    <xdr:ext cx="68580" cy="180000"/>
    <xdr:sp macro="[0]!remMov" textlink="">
      <xdr:nvSpPr>
        <xdr:cNvPr id="46" name="rem_29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 txBox="1"/>
      </xdr:nvSpPr>
      <xdr:spPr>
        <a:xfrm>
          <a:off x="13474260" y="90349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32</xdr:row>
      <xdr:rowOff>43350</xdr:rowOff>
    </xdr:from>
    <xdr:ext cx="68580" cy="180000"/>
    <xdr:sp macro="[0]!remMov" textlink="">
      <xdr:nvSpPr>
        <xdr:cNvPr id="47" name="rem_30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 txBox="1"/>
      </xdr:nvSpPr>
      <xdr:spPr>
        <a:xfrm>
          <a:off x="13474260" y="93016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33</xdr:row>
      <xdr:rowOff>43350</xdr:rowOff>
    </xdr:from>
    <xdr:ext cx="68580" cy="180000"/>
    <xdr:sp macro="[0]!remMov" textlink="">
      <xdr:nvSpPr>
        <xdr:cNvPr id="48" name="rem_3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 txBox="1"/>
      </xdr:nvSpPr>
      <xdr:spPr>
        <a:xfrm>
          <a:off x="13474260" y="9568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34</xdr:row>
      <xdr:rowOff>43350</xdr:rowOff>
    </xdr:from>
    <xdr:ext cx="68580" cy="180000"/>
    <xdr:sp macro="[0]!remMov" textlink="">
      <xdr:nvSpPr>
        <xdr:cNvPr id="49" name="rem_32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 txBox="1"/>
      </xdr:nvSpPr>
      <xdr:spPr>
        <a:xfrm>
          <a:off x="13474260" y="9835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35</xdr:row>
      <xdr:rowOff>43350</xdr:rowOff>
    </xdr:from>
    <xdr:ext cx="68580" cy="180000"/>
    <xdr:sp macro="[0]!remMov" textlink="">
      <xdr:nvSpPr>
        <xdr:cNvPr id="50" name="rem_33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 txBox="1"/>
      </xdr:nvSpPr>
      <xdr:spPr>
        <a:xfrm>
          <a:off x="13474260" y="10101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36</xdr:row>
      <xdr:rowOff>43350</xdr:rowOff>
    </xdr:from>
    <xdr:ext cx="68580" cy="180000"/>
    <xdr:sp macro="[0]!remMov" textlink="">
      <xdr:nvSpPr>
        <xdr:cNvPr id="51" name="rem_34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 txBox="1"/>
      </xdr:nvSpPr>
      <xdr:spPr>
        <a:xfrm>
          <a:off x="13474260" y="103684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37</xdr:row>
      <xdr:rowOff>43350</xdr:rowOff>
    </xdr:from>
    <xdr:ext cx="68580" cy="180000"/>
    <xdr:sp macro="[0]!remMov" textlink="">
      <xdr:nvSpPr>
        <xdr:cNvPr id="52" name="rem_35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 txBox="1"/>
      </xdr:nvSpPr>
      <xdr:spPr>
        <a:xfrm>
          <a:off x="13474260" y="106351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38</xdr:row>
      <xdr:rowOff>43350</xdr:rowOff>
    </xdr:from>
    <xdr:ext cx="68580" cy="180000"/>
    <xdr:sp macro="[0]!remMov" textlink="">
      <xdr:nvSpPr>
        <xdr:cNvPr id="53" name="rem_36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 txBox="1"/>
      </xdr:nvSpPr>
      <xdr:spPr>
        <a:xfrm>
          <a:off x="13474260" y="109018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39</xdr:row>
      <xdr:rowOff>43350</xdr:rowOff>
    </xdr:from>
    <xdr:ext cx="68580" cy="180000"/>
    <xdr:sp macro="[0]!remMov" textlink="">
      <xdr:nvSpPr>
        <xdr:cNvPr id="54" name="rem_37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 txBox="1"/>
      </xdr:nvSpPr>
      <xdr:spPr>
        <a:xfrm>
          <a:off x="13474260" y="111685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40</xdr:row>
      <xdr:rowOff>43350</xdr:rowOff>
    </xdr:from>
    <xdr:ext cx="68580" cy="180000"/>
    <xdr:sp macro="[0]!remMov" textlink="">
      <xdr:nvSpPr>
        <xdr:cNvPr id="55" name="rem_38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 txBox="1"/>
      </xdr:nvSpPr>
      <xdr:spPr>
        <a:xfrm>
          <a:off x="13474260" y="114352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41</xdr:row>
      <xdr:rowOff>43350</xdr:rowOff>
    </xdr:from>
    <xdr:ext cx="68580" cy="180000"/>
    <xdr:sp macro="[0]!remMov" textlink="">
      <xdr:nvSpPr>
        <xdr:cNvPr id="56" name="rem_39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 txBox="1"/>
      </xdr:nvSpPr>
      <xdr:spPr>
        <a:xfrm>
          <a:off x="13474260" y="117019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42</xdr:row>
      <xdr:rowOff>43350</xdr:rowOff>
    </xdr:from>
    <xdr:ext cx="68580" cy="180000"/>
    <xdr:sp macro="[0]!remMov" textlink="">
      <xdr:nvSpPr>
        <xdr:cNvPr id="57" name="rem_4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 txBox="1"/>
      </xdr:nvSpPr>
      <xdr:spPr>
        <a:xfrm>
          <a:off x="13474260" y="119686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43</xdr:row>
      <xdr:rowOff>43350</xdr:rowOff>
    </xdr:from>
    <xdr:ext cx="68580" cy="180000"/>
    <xdr:sp macro="[0]!remMov" textlink="">
      <xdr:nvSpPr>
        <xdr:cNvPr id="58" name="rem_4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13474260" y="12235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44</xdr:row>
      <xdr:rowOff>43350</xdr:rowOff>
    </xdr:from>
    <xdr:ext cx="68580" cy="180000"/>
    <xdr:sp macro="[0]!remMov" textlink="">
      <xdr:nvSpPr>
        <xdr:cNvPr id="59" name="rem_42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13474260" y="12502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45</xdr:row>
      <xdr:rowOff>43350</xdr:rowOff>
    </xdr:from>
    <xdr:ext cx="68580" cy="180000"/>
    <xdr:sp macro="[0]!remMov" textlink="">
      <xdr:nvSpPr>
        <xdr:cNvPr id="60" name="rem_43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13474260" y="12768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46</xdr:row>
      <xdr:rowOff>43349</xdr:rowOff>
    </xdr:from>
    <xdr:ext cx="68580" cy="180000"/>
    <xdr:sp macro="[0]!remMov" textlink="">
      <xdr:nvSpPr>
        <xdr:cNvPr id="61" name="rem_44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13474260" y="130354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47</xdr:row>
      <xdr:rowOff>43349</xdr:rowOff>
    </xdr:from>
    <xdr:ext cx="68580" cy="180000"/>
    <xdr:sp macro="[0]!remMov" textlink="">
      <xdr:nvSpPr>
        <xdr:cNvPr id="62" name="rem_45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3474260" y="133021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48</xdr:row>
      <xdr:rowOff>43349</xdr:rowOff>
    </xdr:from>
    <xdr:ext cx="68580" cy="180000"/>
    <xdr:sp macro="[0]!remMov" textlink="">
      <xdr:nvSpPr>
        <xdr:cNvPr id="63" name="rem_46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 txBox="1"/>
      </xdr:nvSpPr>
      <xdr:spPr>
        <a:xfrm>
          <a:off x="13474260" y="135688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49</xdr:row>
      <xdr:rowOff>43349</xdr:rowOff>
    </xdr:from>
    <xdr:ext cx="68580" cy="180000"/>
    <xdr:sp macro="[0]!remMov" textlink="">
      <xdr:nvSpPr>
        <xdr:cNvPr id="64" name="rem_47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3474260" y="138355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50</xdr:row>
      <xdr:rowOff>43349</xdr:rowOff>
    </xdr:from>
    <xdr:ext cx="68580" cy="180000"/>
    <xdr:sp macro="[0]!remMov" textlink="">
      <xdr:nvSpPr>
        <xdr:cNvPr id="65" name="rem_48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3474260" y="141022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51</xdr:row>
      <xdr:rowOff>43349</xdr:rowOff>
    </xdr:from>
    <xdr:ext cx="68580" cy="180000"/>
    <xdr:sp macro="[0]!remMov" textlink="">
      <xdr:nvSpPr>
        <xdr:cNvPr id="66" name="rem_49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3474260" y="143689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52</xdr:row>
      <xdr:rowOff>43349</xdr:rowOff>
    </xdr:from>
    <xdr:ext cx="68580" cy="180000"/>
    <xdr:sp macro="[0]!remMov" textlink="">
      <xdr:nvSpPr>
        <xdr:cNvPr id="67" name="rem_50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3474260" y="146356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53</xdr:row>
      <xdr:rowOff>43349</xdr:rowOff>
    </xdr:from>
    <xdr:ext cx="68580" cy="180000"/>
    <xdr:sp macro="[0]!remMov" textlink="">
      <xdr:nvSpPr>
        <xdr:cNvPr id="68" name="rem_51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13474260" y="149023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54</xdr:row>
      <xdr:rowOff>43349</xdr:rowOff>
    </xdr:from>
    <xdr:ext cx="68580" cy="180000"/>
    <xdr:sp macro="[0]!remMov" textlink="">
      <xdr:nvSpPr>
        <xdr:cNvPr id="69" name="rem_52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 txBox="1"/>
      </xdr:nvSpPr>
      <xdr:spPr>
        <a:xfrm>
          <a:off x="13474260" y="151690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55</xdr:row>
      <xdr:rowOff>43349</xdr:rowOff>
    </xdr:from>
    <xdr:ext cx="68580" cy="180000"/>
    <xdr:sp macro="[0]!remMov" textlink="">
      <xdr:nvSpPr>
        <xdr:cNvPr id="70" name="rem_53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13474260" y="154357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56</xdr:row>
      <xdr:rowOff>43349</xdr:rowOff>
    </xdr:from>
    <xdr:ext cx="68580" cy="180000"/>
    <xdr:sp macro="[0]!remMov" textlink="">
      <xdr:nvSpPr>
        <xdr:cNvPr id="71" name="rem_54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 txBox="1"/>
      </xdr:nvSpPr>
      <xdr:spPr>
        <a:xfrm>
          <a:off x="13474260" y="157024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57</xdr:row>
      <xdr:rowOff>43349</xdr:rowOff>
    </xdr:from>
    <xdr:ext cx="68580" cy="180000"/>
    <xdr:sp macro="[0]!remMov" textlink="">
      <xdr:nvSpPr>
        <xdr:cNvPr id="72" name="rem_55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 txBox="1"/>
      </xdr:nvSpPr>
      <xdr:spPr>
        <a:xfrm>
          <a:off x="13474260" y="159691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58</xdr:row>
      <xdr:rowOff>43349</xdr:rowOff>
    </xdr:from>
    <xdr:ext cx="68580" cy="180000"/>
    <xdr:sp macro="[0]!remMov" textlink="">
      <xdr:nvSpPr>
        <xdr:cNvPr id="73" name="rem_56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 txBox="1"/>
      </xdr:nvSpPr>
      <xdr:spPr>
        <a:xfrm>
          <a:off x="13474260" y="162358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59</xdr:row>
      <xdr:rowOff>43349</xdr:rowOff>
    </xdr:from>
    <xdr:ext cx="68580" cy="180000"/>
    <xdr:sp macro="[0]!remMov" textlink="">
      <xdr:nvSpPr>
        <xdr:cNvPr id="74" name="rem_5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 txBox="1"/>
      </xdr:nvSpPr>
      <xdr:spPr>
        <a:xfrm>
          <a:off x="13474260" y="165025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60</xdr:row>
      <xdr:rowOff>43349</xdr:rowOff>
    </xdr:from>
    <xdr:ext cx="68580" cy="180000"/>
    <xdr:sp macro="[0]!remMov" textlink="">
      <xdr:nvSpPr>
        <xdr:cNvPr id="75" name="rem_5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 txBox="1"/>
      </xdr:nvSpPr>
      <xdr:spPr>
        <a:xfrm>
          <a:off x="13474260" y="167692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61</xdr:row>
      <xdr:rowOff>43349</xdr:rowOff>
    </xdr:from>
    <xdr:ext cx="68580" cy="180000"/>
    <xdr:sp macro="[0]!remMov" textlink="">
      <xdr:nvSpPr>
        <xdr:cNvPr id="76" name="rem_5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 txBox="1"/>
      </xdr:nvSpPr>
      <xdr:spPr>
        <a:xfrm>
          <a:off x="13474260" y="170359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62</xdr:row>
      <xdr:rowOff>43349</xdr:rowOff>
    </xdr:from>
    <xdr:ext cx="68580" cy="180000"/>
    <xdr:sp macro="[0]!remMov" textlink="">
      <xdr:nvSpPr>
        <xdr:cNvPr id="77" name="rem_6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13474260" y="173026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63</xdr:row>
      <xdr:rowOff>43349</xdr:rowOff>
    </xdr:from>
    <xdr:ext cx="68580" cy="180000"/>
    <xdr:sp macro="[0]!remMov" textlink="">
      <xdr:nvSpPr>
        <xdr:cNvPr id="78" name="rem_6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13474260" y="175693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64</xdr:row>
      <xdr:rowOff>43349</xdr:rowOff>
    </xdr:from>
    <xdr:ext cx="68580" cy="180000"/>
    <xdr:sp macro="[0]!remMov" textlink="">
      <xdr:nvSpPr>
        <xdr:cNvPr id="79" name="rem_62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13474260" y="178360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65</xdr:row>
      <xdr:rowOff>43349</xdr:rowOff>
    </xdr:from>
    <xdr:ext cx="68580" cy="180000"/>
    <xdr:sp macro="[0]!remMov" textlink="">
      <xdr:nvSpPr>
        <xdr:cNvPr id="80" name="rem_63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13474260" y="181027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66</xdr:row>
      <xdr:rowOff>43349</xdr:rowOff>
    </xdr:from>
    <xdr:ext cx="68580" cy="180000"/>
    <xdr:sp macro="[0]!remMov" textlink="">
      <xdr:nvSpPr>
        <xdr:cNvPr id="81" name="rem_64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13474260" y="183694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67</xdr:row>
      <xdr:rowOff>43349</xdr:rowOff>
    </xdr:from>
    <xdr:ext cx="68580" cy="180000"/>
    <xdr:sp macro="[0]!remMov" textlink="">
      <xdr:nvSpPr>
        <xdr:cNvPr id="82" name="rem_65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13474260" y="186361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1354836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0319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2936" y="105833"/>
          <a:ext cx="90319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659820</xdr:colOff>
      <xdr:row>0</xdr:row>
      <xdr:rowOff>0</xdr:rowOff>
    </xdr:from>
    <xdr:to>
      <xdr:col>4</xdr:col>
      <xdr:colOff>214020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4</xdr:col>
      <xdr:colOff>135945</xdr:colOff>
      <xdr:row>0</xdr:row>
      <xdr:rowOff>0</xdr:rowOff>
    </xdr:from>
    <xdr:to>
      <xdr:col>7</xdr:col>
      <xdr:colOff>528345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450270</xdr:colOff>
      <xdr:row>0</xdr:row>
      <xdr:rowOff>0</xdr:rowOff>
    </xdr:from>
    <xdr:to>
      <xdr:col>7</xdr:col>
      <xdr:colOff>2214270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2136195</xdr:colOff>
      <xdr:row>0</xdr:row>
      <xdr:rowOff>0</xdr:rowOff>
    </xdr:from>
    <xdr:to>
      <xdr:col>8</xdr:col>
      <xdr:colOff>852195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ENTRADA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2461260</xdr:colOff>
      <xdr:row>1</xdr:row>
      <xdr:rowOff>152400</xdr:rowOff>
    </xdr:from>
    <xdr:to>
      <xdr:col>9</xdr:col>
      <xdr:colOff>4225260</xdr:colOff>
      <xdr:row>1</xdr:row>
      <xdr:rowOff>476400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107186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ENTRADA MANUAL</a:t>
          </a:r>
        </a:p>
      </xdr:txBody>
    </xdr:sp>
    <xdr:clientData/>
  </xdr:twoCellAnchor>
  <xdr:twoCellAnchor editAs="absolute">
    <xdr:from>
      <xdr:col>8</xdr:col>
      <xdr:colOff>774120</xdr:colOff>
      <xdr:row>0</xdr:row>
      <xdr:rowOff>0</xdr:rowOff>
    </xdr:from>
    <xdr:to>
      <xdr:col>9</xdr:col>
      <xdr:colOff>1623720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9</xdr:col>
      <xdr:colOff>495300</xdr:colOff>
      <xdr:row>1</xdr:row>
      <xdr:rowOff>152400</xdr:rowOff>
    </xdr:from>
    <xdr:to>
      <xdr:col>9</xdr:col>
      <xdr:colOff>2259300</xdr:colOff>
      <xdr:row>1</xdr:row>
      <xdr:rowOff>476400</xdr:rowOff>
    </xdr:to>
    <xdr:sp macro="[0]!entradaXM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10590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ENTRADA POR XML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12161520" y="114300"/>
          <a:ext cx="685883" cy="265265"/>
          <a:chOff x="12712136" y="105833"/>
          <a:chExt cx="685883" cy="265265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1" name="Conector de Seta Reta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130302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0319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2936" y="105833"/>
          <a:ext cx="90319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659820</xdr:colOff>
      <xdr:row>0</xdr:row>
      <xdr:rowOff>0</xdr:rowOff>
    </xdr:from>
    <xdr:to>
      <xdr:col>4</xdr:col>
      <xdr:colOff>214020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4</xdr:col>
      <xdr:colOff>135945</xdr:colOff>
      <xdr:row>0</xdr:row>
      <xdr:rowOff>0</xdr:rowOff>
    </xdr:from>
    <xdr:to>
      <xdr:col>7</xdr:col>
      <xdr:colOff>528345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450270</xdr:colOff>
      <xdr:row>0</xdr:row>
      <xdr:rowOff>0</xdr:rowOff>
    </xdr:from>
    <xdr:to>
      <xdr:col>7</xdr:col>
      <xdr:colOff>2214270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2136195</xdr:colOff>
      <xdr:row>0</xdr:row>
      <xdr:rowOff>0</xdr:rowOff>
    </xdr:from>
    <xdr:to>
      <xdr:col>8</xdr:col>
      <xdr:colOff>852195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SAIDA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2461260</xdr:colOff>
      <xdr:row>1</xdr:row>
      <xdr:rowOff>152400</xdr:rowOff>
    </xdr:from>
    <xdr:to>
      <xdr:col>9</xdr:col>
      <xdr:colOff>4225260</xdr:colOff>
      <xdr:row>1</xdr:row>
      <xdr:rowOff>476400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1107186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REGISTRAR SAIDA</a:t>
          </a:r>
        </a:p>
      </xdr:txBody>
    </xdr:sp>
    <xdr:clientData/>
  </xdr:twoCellAnchor>
  <xdr:twoCellAnchor editAs="absolute">
    <xdr:from>
      <xdr:col>8</xdr:col>
      <xdr:colOff>774120</xdr:colOff>
      <xdr:row>0</xdr:row>
      <xdr:rowOff>0</xdr:rowOff>
    </xdr:from>
    <xdr:to>
      <xdr:col>9</xdr:col>
      <xdr:colOff>1623720</xdr:colOff>
      <xdr:row>1</xdr:row>
      <xdr:rowOff>300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161520" y="114300"/>
          <a:ext cx="685883" cy="265265"/>
          <a:chOff x="12712136" y="105833"/>
          <a:chExt cx="685883" cy="265265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6" name="Conector de Seta Reta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users" displayName="users" ref="D4:E12" totalsRowShown="0" headerRowDxfId="169" dataDxfId="168">
  <autoFilter ref="D4:E12" xr:uid="{00000000-0009-0000-0100-000003000000}"/>
  <sortState xmlns:xlrd2="http://schemas.microsoft.com/office/spreadsheetml/2017/richdata2" ref="D5:E11">
    <sortCondition ref="D5:D11"/>
  </sortState>
  <tableColumns count="2">
    <tableColumn id="1" xr3:uid="{00000000-0010-0000-0000-000001000000}" name="id" dataDxfId="167"/>
    <tableColumn id="2" xr3:uid="{00000000-0010-0000-0000-000002000000}" name="password" dataDxfId="16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ctv" displayName="actv" ref="G4:G5" totalsRowShown="0" headerRowDxfId="165" dataDxfId="164">
  <autoFilter ref="G4:G5" xr:uid="{00000000-0009-0000-0100-000004000000}"/>
  <tableColumns count="1">
    <tableColumn id="1" xr3:uid="{00000000-0010-0000-0100-000001000000}" name="ativo" dataDxfId="16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cadProdutos" displayName="cadProdutos" ref="B3:H37" totalsRowShown="0" headerRowDxfId="162" dataDxfId="161">
  <autoFilter ref="B3:H3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B4:H33">
    <sortCondition ref="D4:D33"/>
    <sortCondition ref="F4:F33"/>
  </sortState>
  <tableColumns count="7">
    <tableColumn id="8" xr3:uid="{00000000-0010-0000-0400-000008000000}" name="Nº" dataDxfId="160">
      <calculatedColumnFormula>COUNTA($C$4:cadProdutos[[#This Row],[CODIGO DE BARRAS]])</calculatedColumnFormula>
    </tableColumn>
    <tableColumn id="1" xr3:uid="{00000000-0010-0000-0400-000001000000}" name="CODIGO DE BARRAS" dataDxfId="159"/>
    <tableColumn id="5" xr3:uid="{00000000-0010-0000-0400-000005000000}" name="TIPO" dataDxfId="158"/>
    <tableColumn id="2" xr3:uid="{00000000-0010-0000-0400-000002000000}" name="CODIGO INTERNO" dataDxfId="157"/>
    <tableColumn id="3" xr3:uid="{00000000-0010-0000-0400-000003000000}" name="PRODUTO" dataDxfId="156"/>
    <tableColumn id="4" xr3:uid="{00000000-0010-0000-0400-000004000000}" name="ESTOQUE" dataDxfId="155"/>
    <tableColumn id="7" xr3:uid="{00000000-0010-0000-0400-000007000000}" name="OBSERVAÇÕES" dataDxfId="154"/>
  </tableColumns>
  <tableStyleInfo name="Estilo de Tabela 1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80E4D0-C24D-4B33-BE5E-720FA8DEC267}" name="cadProdutos8" displayName="cadProdutos8" ref="B3:G37" totalsRowShown="0" headerRowDxfId="153" dataDxfId="152">
  <autoFilter ref="B3:G3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4:G33">
    <sortCondition ref="D4:D33"/>
  </sortState>
  <tableColumns count="6">
    <tableColumn id="8" xr3:uid="{E4A5DE79-63B9-4509-87CA-DE4D603A7AB1}" name="Nº" dataDxfId="151">
      <calculatedColumnFormula>COUNTA($C$4:cadProdutos8[[#This Row],[CODIGO DE BARRAS]])</calculatedColumnFormula>
    </tableColumn>
    <tableColumn id="1" xr3:uid="{29EE3303-B533-4FD1-8778-09DA50004A7D}" name="CODIGO DE BARRAS" dataDxfId="150"/>
    <tableColumn id="5" xr3:uid="{66F129D5-1FDE-4321-903D-F10C95F5C7AD}" name="TIPO" dataDxfId="149"/>
    <tableColumn id="2" xr3:uid="{ACD8DD08-C484-4CEC-BA2F-17BA6C91BD9E}" name="CODIGO INTERNO" dataDxfId="148"/>
    <tableColumn id="3" xr3:uid="{8EC1859B-3CE2-4D0E-A32E-16984B06AC31}" name="PRODUTO" dataDxfId="147"/>
    <tableColumn id="6" xr3:uid="{0EDE8DC4-8883-4ECD-82BB-70ED879DED7D}" name="LIMITE DE ESTOQUE" dataDxfId="101"/>
  </tableColumns>
  <tableStyleInfo name="Estilo de Tabela 1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096D63-804F-49B1-95F4-E566E8A63C5B}" name="cadProdutos9" displayName="cadProdutos9" ref="B3:G37" totalsRowShown="0" headerRowDxfId="146" dataDxfId="145">
  <autoFilter ref="B3:G3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4:G33">
    <sortCondition ref="E4:E33"/>
  </sortState>
  <tableColumns count="6">
    <tableColumn id="8" xr3:uid="{216303AB-8504-458B-8356-2EB3BB6F42D8}" name="Nº" dataDxfId="144">
      <calculatedColumnFormula>COUNTA($C$4:cadProdutos9[[#This Row],[CODIGO DE BARRAS]])</calculatedColumnFormula>
    </tableColumn>
    <tableColumn id="1" xr3:uid="{2957CF29-365B-4FC7-86A8-0A7E8A043AF3}" name="CODIGO DE BARRAS" dataDxfId="143"/>
    <tableColumn id="2" xr3:uid="{E72CAFDB-CC9B-4CAC-BC5A-827747AE6928}" name="CODIGO INTERNO" dataDxfId="142"/>
    <tableColumn id="3" xr3:uid="{4562ECC0-2CD5-478C-B85F-73F67A812A57}" name="PRODUTO" dataDxfId="141"/>
    <tableColumn id="4" xr3:uid="{7F8B6942-EE3F-4C93-89E2-290C03B8FD57}" name="ESTOQUE" dataDxfId="140"/>
    <tableColumn id="7" xr3:uid="{F30796E6-A384-4B20-B42F-05DB6220C419}" name="OBSERVAÇÕES" dataDxfId="139"/>
  </tableColumns>
  <tableStyleInfo name="Estilo de Tabela 1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1" displayName="Tabela1" ref="B3:K68" totalsRowShown="0" headerRowDxfId="138" dataDxfId="137" tableBorderDxfId="136">
  <autoFilter ref="B3:K6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5" xr3:uid="{00000000-0010-0000-0200-000005000000}" name="DATA" dataDxfId="135"/>
    <tableColumn id="6" xr3:uid="{00000000-0010-0000-0200-000006000000}" name="HORA" dataDxfId="134"/>
    <tableColumn id="9" xr3:uid="{00000000-0010-0000-0200-000009000000}" name="USUARIO" dataDxfId="133"/>
    <tableColumn id="7" xr3:uid="{00000000-0010-0000-0200-000007000000}" name="CODIGO HERDEIRO" dataDxfId="132"/>
    <tableColumn id="1" xr3:uid="{00000000-0010-0000-0200-000001000000}" name="CODIGO DE BARRAS" dataDxfId="131"/>
    <tableColumn id="2" xr3:uid="{00000000-0010-0000-0200-000002000000}" name="CODIGO INTERNO" dataDxfId="130"/>
    <tableColumn id="3" xr3:uid="{00000000-0010-0000-0200-000003000000}" name="PRODUTO" dataDxfId="129"/>
    <tableColumn id="4" xr3:uid="{00000000-0010-0000-0200-000004000000}" name="QUANTIDADE" dataDxfId="128"/>
    <tableColumn id="12" xr3:uid="{28FD2124-67E5-4491-8047-51AAFA42134F}" name="REF" dataDxfId="127"/>
    <tableColumn id="8" xr3:uid="{BD94D089-00DF-4143-B608-66346CDF75B4}" name="CONTROLE" dataDxfId="126"/>
  </tableColumns>
  <tableStyleInfo name="Estilo de Tabela 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16" displayName="Tabela16" ref="B3:J19" totalsRowShown="0" headerRowDxfId="125" dataDxfId="124" tableBorderDxfId="123">
  <autoFilter ref="B3:J19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00000000-0010-0000-0300-000005000000}" name="DATA" dataDxfId="122"/>
    <tableColumn id="6" xr3:uid="{00000000-0010-0000-0300-000006000000}" name="HORA" dataDxfId="121"/>
    <tableColumn id="9" xr3:uid="{00000000-0010-0000-0300-000009000000}" name="USUARIO" dataDxfId="120"/>
    <tableColumn id="7" xr3:uid="{00000000-0010-0000-0300-000007000000}" name="CODIGO HERDEIRO" dataDxfId="119"/>
    <tableColumn id="1" xr3:uid="{00000000-0010-0000-0300-000001000000}" name="CODIGO DE BARRAS" dataDxfId="118"/>
    <tableColumn id="2" xr3:uid="{00000000-0010-0000-0300-000002000000}" name="CODIGO INTERNO" dataDxfId="117"/>
    <tableColumn id="3" xr3:uid="{00000000-0010-0000-0300-000003000000}" name="PRODUTO" dataDxfId="116"/>
    <tableColumn id="4" xr3:uid="{00000000-0010-0000-0300-000004000000}" name="ENTRADA" dataDxfId="115"/>
    <tableColumn id="10" xr3:uid="{00000000-0010-0000-0300-00000A000000}" name="MOTIVO DA ENTRADA" dataDxfId="114"/>
  </tableColumns>
  <tableStyleInfo name="Estilo de Tabela 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5D7C2A-B67B-40A3-A7D3-F163B3870DA1}" name="Tabela167" displayName="Tabela167" ref="B3:J49" totalsRowShown="0" headerRowDxfId="113" dataDxfId="112" tableBorderDxfId="111">
  <autoFilter ref="B3:J49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11A11187-0689-4C5E-B88C-27D70BC7164C}" name="DATA" dataDxfId="110"/>
    <tableColumn id="6" xr3:uid="{2B05856D-6481-44C5-A16A-293055BFE22C}" name="HORA" dataDxfId="109"/>
    <tableColumn id="9" xr3:uid="{F9AD90DD-D79A-4782-B8E1-9CF73FC4B22B}" name="USUARIO" dataDxfId="108"/>
    <tableColumn id="7" xr3:uid="{C72AB799-2049-432D-80ED-242DE5F2BB83}" name="CODIGO HERDEIRO" dataDxfId="107"/>
    <tableColumn id="1" xr3:uid="{FAE912EE-E946-405E-AC22-D68AA7B8BD04}" name="CODIGO DE BARRAS" dataDxfId="106"/>
    <tableColumn id="2" xr3:uid="{58B323AB-6D93-4ADD-A974-1D9B758BE691}" name="CODIGO INTERNO" dataDxfId="105"/>
    <tableColumn id="3" xr3:uid="{C2963EA8-9B0E-4D63-84A3-EC6BDB4AF539}" name="PRODUTO" dataDxfId="104"/>
    <tableColumn id="4" xr3:uid="{183363E3-F00E-4B9E-8F92-9B3F4D561941}" name="SAIDA" dataDxfId="103"/>
    <tableColumn id="10" xr3:uid="{1CAF50A7-4E0E-48FE-8B50-8CC4388E00A4}" name="MOTIVO DA RETIRADA" dataDxfId="102"/>
  </tableColumns>
  <tableStyleInfo name="Estilo de Tabela 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X46"/>
  <sheetViews>
    <sheetView showGridLines="0" showRowColHeaders="0" tabSelected="1" topLeftCell="B1" zoomScale="96" zoomScaleNormal="96" workbookViewId="0">
      <selection activeCell="B1" sqref="B1:W31"/>
    </sheetView>
  </sheetViews>
  <sheetFormatPr defaultColWidth="0" defaultRowHeight="14.4" zeroHeight="1" x14ac:dyDescent="0.3"/>
  <cols>
    <col min="1" max="24" width="8.88671875" customWidth="1"/>
    <col min="25" max="16384" width="8.88671875" hidden="1"/>
  </cols>
  <sheetData>
    <row r="1" spans="1:24" x14ac:dyDescent="0.3">
      <c r="A1" s="38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7"/>
    </row>
    <row r="2" spans="1:24" x14ac:dyDescent="0.3">
      <c r="A2" s="38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7"/>
    </row>
    <row r="3" spans="1:24" x14ac:dyDescent="0.3">
      <c r="A3" s="38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7"/>
    </row>
    <row r="4" spans="1:24" x14ac:dyDescent="0.3">
      <c r="A4" s="38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7"/>
    </row>
    <row r="5" spans="1:24" x14ac:dyDescent="0.3">
      <c r="A5" s="38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7"/>
    </row>
    <row r="6" spans="1:24" x14ac:dyDescent="0.3">
      <c r="A6" s="38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7"/>
    </row>
    <row r="7" spans="1:24" x14ac:dyDescent="0.3">
      <c r="A7" s="38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7"/>
    </row>
    <row r="8" spans="1:24" x14ac:dyDescent="0.3">
      <c r="A8" s="38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7"/>
    </row>
    <row r="9" spans="1:24" x14ac:dyDescent="0.3">
      <c r="A9" s="38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7"/>
    </row>
    <row r="10" spans="1:24" x14ac:dyDescent="0.3">
      <c r="A10" s="38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7"/>
    </row>
    <row r="11" spans="1:24" x14ac:dyDescent="0.3">
      <c r="A11" s="38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7"/>
    </row>
    <row r="12" spans="1:24" x14ac:dyDescent="0.3">
      <c r="A12" s="38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7"/>
    </row>
    <row r="13" spans="1:24" x14ac:dyDescent="0.3">
      <c r="A13" s="38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7"/>
    </row>
    <row r="14" spans="1:24" x14ac:dyDescent="0.3">
      <c r="A14" s="38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7"/>
    </row>
    <row r="15" spans="1:24" x14ac:dyDescent="0.3">
      <c r="A15" s="38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7"/>
    </row>
    <row r="16" spans="1:24" x14ac:dyDescent="0.3">
      <c r="A16" s="38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7"/>
    </row>
    <row r="17" spans="1:24" x14ac:dyDescent="0.3">
      <c r="A17" s="38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7"/>
    </row>
    <row r="18" spans="1:24" x14ac:dyDescent="0.3">
      <c r="A18" s="38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7"/>
    </row>
    <row r="19" spans="1:24" x14ac:dyDescent="0.3">
      <c r="A19" s="38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7"/>
    </row>
    <row r="20" spans="1:24" x14ac:dyDescent="0.3">
      <c r="A20" s="38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7"/>
    </row>
    <row r="21" spans="1:24" x14ac:dyDescent="0.3">
      <c r="A21" s="38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7"/>
    </row>
    <row r="22" spans="1:24" x14ac:dyDescent="0.3">
      <c r="A22" s="38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7"/>
    </row>
    <row r="23" spans="1:24" x14ac:dyDescent="0.3">
      <c r="A23" s="38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7"/>
    </row>
    <row r="24" spans="1:24" x14ac:dyDescent="0.3">
      <c r="A24" s="38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7"/>
    </row>
    <row r="25" spans="1:24" x14ac:dyDescent="0.3">
      <c r="A25" s="38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7"/>
    </row>
    <row r="26" spans="1:24" x14ac:dyDescent="0.3">
      <c r="A26" s="38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7"/>
    </row>
    <row r="27" spans="1:24" x14ac:dyDescent="0.3">
      <c r="A27" s="38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7"/>
    </row>
    <row r="28" spans="1:24" x14ac:dyDescent="0.3">
      <c r="A28" s="38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7"/>
    </row>
    <row r="29" spans="1:24" x14ac:dyDescent="0.3">
      <c r="A29" s="38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7"/>
    </row>
    <row r="30" spans="1:24" x14ac:dyDescent="0.3">
      <c r="A30" s="38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7"/>
    </row>
    <row r="31" spans="1:24" x14ac:dyDescent="0.3">
      <c r="A31" s="38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7"/>
    </row>
    <row r="32" spans="1:24" x14ac:dyDescent="0.3">
      <c r="A32" s="38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7"/>
    </row>
    <row r="33" spans="1:24" x14ac:dyDescent="0.3">
      <c r="A33" s="38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7"/>
    </row>
    <row r="34" spans="1:24" x14ac:dyDescent="0.3">
      <c r="A34" s="38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7"/>
    </row>
    <row r="35" spans="1:24" x14ac:dyDescent="0.3">
      <c r="A35" s="38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7"/>
    </row>
    <row r="36" spans="1:24" x14ac:dyDescent="0.3">
      <c r="A36" s="38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7"/>
    </row>
    <row r="37" spans="1:24" x14ac:dyDescent="0.3">
      <c r="A37" s="38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7"/>
    </row>
    <row r="38" spans="1:24" x14ac:dyDescent="0.3">
      <c r="A38" s="38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7"/>
    </row>
    <row r="39" spans="1:24" x14ac:dyDescent="0.3">
      <c r="A39" s="38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7"/>
    </row>
    <row r="40" spans="1:24" x14ac:dyDescent="0.3">
      <c r="A40" s="38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7"/>
    </row>
    <row r="41" spans="1:24" x14ac:dyDescent="0.3">
      <c r="A41" s="38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7"/>
    </row>
    <row r="42" spans="1:24" x14ac:dyDescent="0.3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7"/>
    </row>
    <row r="43" spans="1:24" x14ac:dyDescent="0.3">
      <c r="A43" s="38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7"/>
    </row>
    <row r="44" spans="1:24" x14ac:dyDescent="0.3">
      <c r="A44" s="38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7"/>
    </row>
    <row r="45" spans="1:24" x14ac:dyDescent="0.3">
      <c r="A45" s="38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7"/>
    </row>
    <row r="46" spans="1:24" x14ac:dyDescent="0.3">
      <c r="A46" s="38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7"/>
    </row>
  </sheetData>
  <sheetProtection sheet="1" objects="1" scenarios="1" selectLockedCells="1" selectUnlockedCells="1"/>
  <mergeCells count="4">
    <mergeCell ref="B1:W31"/>
    <mergeCell ref="B32:W46"/>
    <mergeCell ref="X1:X46"/>
    <mergeCell ref="A1:A46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r:id="rId5">
            <anchor>
              <from>
                <xdr:col>16</xdr:col>
                <xdr:colOff>129540</xdr:colOff>
                <xdr:row>14</xdr:row>
                <xdr:rowOff>38100</xdr:rowOff>
              </from>
              <to>
                <xdr:col>21</xdr:col>
                <xdr:colOff>83820</xdr:colOff>
                <xdr:row>15</xdr:row>
                <xdr:rowOff>106680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6" r:id="rId6" name="TextBox2">
          <controlPr defaultSize="0" autoLine="0" r:id="rId7">
            <anchor>
              <from>
                <xdr:col>16</xdr:col>
                <xdr:colOff>129540</xdr:colOff>
                <xdr:row>18</xdr:row>
                <xdr:rowOff>152400</xdr:rowOff>
              </from>
              <to>
                <xdr:col>21</xdr:col>
                <xdr:colOff>83820</xdr:colOff>
                <xdr:row>20</xdr:row>
                <xdr:rowOff>45720</xdr:rowOff>
              </to>
            </anchor>
          </controlPr>
        </control>
      </mc:Choice>
      <mc:Fallback>
        <control shapeId="1026" r:id="rId6" name="TextBox2"/>
      </mc:Fallback>
    </mc:AlternateContent>
    <mc:AlternateContent xmlns:mc="http://schemas.openxmlformats.org/markup-compatibility/2006">
      <mc:Choice Requires="x14">
        <control shapeId="1032" r:id="rId8" name="logginBtn">
          <controlPr defaultSize="0" autoLine="0" r:id="rId9">
            <anchor moveWithCells="1">
              <from>
                <xdr:col>23</xdr:col>
                <xdr:colOff>365760</xdr:colOff>
                <xdr:row>35</xdr:row>
                <xdr:rowOff>106680</xdr:rowOff>
              </from>
              <to>
                <xdr:col>23</xdr:col>
                <xdr:colOff>594360</xdr:colOff>
                <xdr:row>37</xdr:row>
                <xdr:rowOff>0</xdr:rowOff>
              </to>
            </anchor>
          </controlPr>
        </control>
      </mc:Choice>
      <mc:Fallback>
        <control shapeId="1032" r:id="rId8" name="loggin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B1:AV106"/>
  <sheetViews>
    <sheetView showRowColHeaders="0" topLeftCell="B1" workbookViewId="0">
      <selection activeCell="B1" sqref="B1"/>
    </sheetView>
  </sheetViews>
  <sheetFormatPr defaultColWidth="0" defaultRowHeight="14.4" zeroHeight="1" x14ac:dyDescent="0.3"/>
  <cols>
    <col min="1" max="1" width="8.88671875" hidden="1" customWidth="1"/>
    <col min="2" max="48" width="8.88671875" customWidth="1"/>
    <col min="49" max="16384" width="8.88671875" hidden="1"/>
  </cols>
  <sheetData>
    <row r="1" spans="2:48" x14ac:dyDescent="0.3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</row>
    <row r="2" spans="2:48" x14ac:dyDescent="0.3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</row>
    <row r="3" spans="2:48" x14ac:dyDescent="0.3"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</row>
    <row r="4" spans="2:48" x14ac:dyDescent="0.3"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</row>
    <row r="5" spans="2:48" x14ac:dyDescent="0.3"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</row>
    <row r="6" spans="2:48" x14ac:dyDescent="0.3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</row>
    <row r="7" spans="2:48" x14ac:dyDescent="0.3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</row>
    <row r="8" spans="2:48" x14ac:dyDescent="0.3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</row>
    <row r="9" spans="2:48" x14ac:dyDescent="0.3"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</row>
    <row r="10" spans="2:48" x14ac:dyDescent="0.3"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</row>
    <row r="11" spans="2:48" x14ac:dyDescent="0.3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</row>
    <row r="12" spans="2:48" x14ac:dyDescent="0.3"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</row>
    <row r="13" spans="2:48" x14ac:dyDescent="0.3"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</row>
    <row r="14" spans="2:48" x14ac:dyDescent="0.3"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</row>
    <row r="15" spans="2:48" x14ac:dyDescent="0.3"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</row>
    <row r="16" spans="2:48" x14ac:dyDescent="0.3"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</row>
    <row r="17" spans="2:48" x14ac:dyDescent="0.3"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2:48" x14ac:dyDescent="0.3"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2:48" x14ac:dyDescent="0.3"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2:48" x14ac:dyDescent="0.3"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2:48" x14ac:dyDescent="0.3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2:48" x14ac:dyDescent="0.3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2:48" x14ac:dyDescent="0.3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2:48" x14ac:dyDescent="0.3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2:48" x14ac:dyDescent="0.3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2:48" x14ac:dyDescent="0.3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2:48" x14ac:dyDescent="0.3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2:48" x14ac:dyDescent="0.3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2:48" x14ac:dyDescent="0.3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2:48" x14ac:dyDescent="0.3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2:48" x14ac:dyDescent="0.3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2:48" x14ac:dyDescent="0.3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2:48" x14ac:dyDescent="0.3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2:48" x14ac:dyDescent="0.3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2:48" x14ac:dyDescent="0.3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2:48" x14ac:dyDescent="0.3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2:48" x14ac:dyDescent="0.3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2:48" x14ac:dyDescent="0.3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2:48" x14ac:dyDescent="0.3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2:48" x14ac:dyDescent="0.3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2:48" x14ac:dyDescent="0.3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2:48" x14ac:dyDescent="0.3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2:48" x14ac:dyDescent="0.3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2:48" x14ac:dyDescent="0.3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2:48" x14ac:dyDescent="0.3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2:48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2:48" x14ac:dyDescent="0.3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2:48" x14ac:dyDescent="0.3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2:48" x14ac:dyDescent="0.3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2:48" x14ac:dyDescent="0.3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2:48" x14ac:dyDescent="0.3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2:48" x14ac:dyDescent="0.3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2:48" x14ac:dyDescent="0.3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2:48" x14ac:dyDescent="0.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2:48" x14ac:dyDescent="0.3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2:48" x14ac:dyDescent="0.3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2:48" x14ac:dyDescent="0.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2:48" x14ac:dyDescent="0.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2:48" x14ac:dyDescent="0.3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2:48" x14ac:dyDescent="0.3"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2:48" x14ac:dyDescent="0.3"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2:48" x14ac:dyDescent="0.3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2:48" x14ac:dyDescent="0.3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2:48" x14ac:dyDescent="0.3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2:48" x14ac:dyDescent="0.3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2:48" x14ac:dyDescent="0.3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2:48" x14ac:dyDescent="0.3"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2:48" x14ac:dyDescent="0.3"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2:48" x14ac:dyDescent="0.3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2:48" x14ac:dyDescent="0.3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2:48" x14ac:dyDescent="0.3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2:48" x14ac:dyDescent="0.3"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2:48" x14ac:dyDescent="0.3"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2:48" x14ac:dyDescent="0.3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</row>
    <row r="75" spans="2:48" x14ac:dyDescent="0.3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</row>
    <row r="76" spans="2:48" x14ac:dyDescent="0.3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</row>
    <row r="77" spans="2:48" x14ac:dyDescent="0.3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</row>
    <row r="78" spans="2:48" x14ac:dyDescent="0.3"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</row>
    <row r="79" spans="2:48" x14ac:dyDescent="0.3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</row>
    <row r="80" spans="2:48" x14ac:dyDescent="0.3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</row>
    <row r="81" spans="2:48" x14ac:dyDescent="0.3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</row>
    <row r="82" spans="2:48" x14ac:dyDescent="0.3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</row>
    <row r="83" spans="2:48" x14ac:dyDescent="0.3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</row>
    <row r="84" spans="2:48" x14ac:dyDescent="0.3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</row>
    <row r="85" spans="2:48" x14ac:dyDescent="0.3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</row>
    <row r="86" spans="2:48" x14ac:dyDescent="0.3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</row>
    <row r="87" spans="2:48" x14ac:dyDescent="0.3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</row>
    <row r="88" spans="2:48" x14ac:dyDescent="0.3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</row>
    <row r="89" spans="2:48" x14ac:dyDescent="0.3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</row>
    <row r="90" spans="2:48" x14ac:dyDescent="0.3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</row>
    <row r="91" spans="2:48" x14ac:dyDescent="0.3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</row>
    <row r="92" spans="2:48" x14ac:dyDescent="0.3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</row>
    <row r="93" spans="2:48" x14ac:dyDescent="0.3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</row>
    <row r="94" spans="2:48" x14ac:dyDescent="0.3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</row>
    <row r="95" spans="2:48" x14ac:dyDescent="0.3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</row>
    <row r="96" spans="2:48" x14ac:dyDescent="0.3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</row>
    <row r="97" spans="2:48" x14ac:dyDescent="0.3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</row>
    <row r="98" spans="2:48" x14ac:dyDescent="0.3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</row>
    <row r="99" spans="2:48" x14ac:dyDescent="0.3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</row>
    <row r="100" spans="2:48" x14ac:dyDescent="0.3"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</row>
    <row r="101" spans="2:48" x14ac:dyDescent="0.3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</row>
    <row r="102" spans="2:48" x14ac:dyDescent="0.3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</row>
    <row r="103" spans="2:48" x14ac:dyDescent="0.3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</row>
    <row r="104" spans="2:48" x14ac:dyDescent="0.3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</row>
    <row r="105" spans="2:48" x14ac:dyDescent="0.3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</row>
    <row r="106" spans="2:48" x14ac:dyDescent="0.3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P19"/>
  <sheetViews>
    <sheetView showGridLines="0" showRowColHeaders="0" topLeftCell="B1" workbookViewId="0">
      <selection activeCell="I12" sqref="I12"/>
    </sheetView>
  </sheetViews>
  <sheetFormatPr defaultColWidth="0" defaultRowHeight="14.4" zeroHeight="1" x14ac:dyDescent="0.3"/>
  <cols>
    <col min="1" max="1" width="0" hidden="1" customWidth="1"/>
    <col min="2" max="2" width="26" customWidth="1"/>
    <col min="3" max="3" width="14.44140625" customWidth="1"/>
    <col min="4" max="5" width="16.6640625" customWidth="1"/>
    <col min="6" max="6" width="8.88671875" customWidth="1"/>
    <col min="7" max="7" width="16.6640625" customWidth="1"/>
    <col min="8" max="16" width="8.88671875" customWidth="1"/>
    <col min="17" max="16384" width="8.88671875" hidden="1"/>
  </cols>
  <sheetData>
    <row r="1" spans="2:16" ht="50.4" customHeight="1" x14ac:dyDescent="0.3">
      <c r="B1" s="33" t="s">
        <v>78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2:16" ht="24.6" customHeight="1" x14ac:dyDescent="0.3"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3" spans="2:16" ht="52.8" customHeight="1" x14ac:dyDescent="0.3"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</row>
    <row r="4" spans="2:16" ht="18" customHeight="1" x14ac:dyDescent="0.3">
      <c r="B4" s="33"/>
      <c r="C4" s="33"/>
      <c r="D4" s="30" t="s">
        <v>26</v>
      </c>
      <c r="E4" s="30" t="s">
        <v>32</v>
      </c>
      <c r="F4" s="33"/>
      <c r="G4" s="30" t="s">
        <v>33</v>
      </c>
      <c r="H4" s="33"/>
      <c r="I4" s="33"/>
      <c r="J4" s="33"/>
      <c r="K4" s="33"/>
      <c r="L4" s="33"/>
      <c r="M4" s="33"/>
      <c r="N4" s="33"/>
      <c r="O4" s="33"/>
      <c r="P4" s="33"/>
    </row>
    <row r="5" spans="2:16" ht="18" customHeight="1" x14ac:dyDescent="0.3">
      <c r="B5" s="33"/>
      <c r="C5" s="33"/>
      <c r="D5" s="30" t="s">
        <v>31</v>
      </c>
      <c r="E5" s="31" t="s">
        <v>31</v>
      </c>
      <c r="F5" s="33"/>
      <c r="G5" s="30"/>
      <c r="H5" s="33" t="str">
        <f>IF(actv[]="","Sem login ativo","Logado")</f>
        <v>Sem login ativo</v>
      </c>
      <c r="I5" s="33"/>
      <c r="J5" s="33"/>
      <c r="K5" s="33"/>
      <c r="L5" s="33"/>
      <c r="M5" s="33"/>
      <c r="N5" s="33"/>
      <c r="O5" s="33"/>
      <c r="P5" s="33"/>
    </row>
    <row r="6" spans="2:16" ht="18" customHeight="1" x14ac:dyDescent="0.3">
      <c r="B6" s="33"/>
      <c r="C6" s="33"/>
      <c r="D6" s="30" t="s">
        <v>29</v>
      </c>
      <c r="E6" s="31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</row>
    <row r="7" spans="2:16" ht="18" customHeight="1" x14ac:dyDescent="0.3">
      <c r="B7" s="33"/>
      <c r="C7" s="33"/>
      <c r="D7" s="30" t="s">
        <v>45</v>
      </c>
      <c r="E7" s="31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</row>
    <row r="8" spans="2:16" ht="18" customHeight="1" x14ac:dyDescent="0.3">
      <c r="B8" s="33"/>
      <c r="C8" s="33"/>
      <c r="D8" s="30" t="s">
        <v>28</v>
      </c>
      <c r="E8" s="31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</row>
    <row r="9" spans="2:16" ht="18" customHeight="1" x14ac:dyDescent="0.3">
      <c r="B9" s="33"/>
      <c r="C9" s="33"/>
      <c r="D9" s="30" t="s">
        <v>27</v>
      </c>
      <c r="E9" s="32">
        <v>1010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</row>
    <row r="10" spans="2:16" ht="18" customHeight="1" x14ac:dyDescent="0.3">
      <c r="B10" s="33"/>
      <c r="C10" s="33"/>
      <c r="D10" s="30" t="s">
        <v>67</v>
      </c>
      <c r="E10" s="31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</row>
    <row r="11" spans="2:16" ht="18" customHeight="1" x14ac:dyDescent="0.3">
      <c r="B11" s="33"/>
      <c r="C11" s="33"/>
      <c r="D11" s="30" t="s">
        <v>30</v>
      </c>
      <c r="E11" s="31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</row>
    <row r="12" spans="2:16" ht="18" customHeight="1" x14ac:dyDescent="0.3">
      <c r="B12" s="33"/>
      <c r="C12" s="33"/>
      <c r="D12" s="30" t="s">
        <v>62</v>
      </c>
      <c r="E12" s="31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</row>
    <row r="13" spans="2:16" ht="18" customHeight="1" x14ac:dyDescent="0.3"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</row>
    <row r="14" spans="2:16" ht="18" customHeight="1" x14ac:dyDescent="0.3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</row>
    <row r="15" spans="2:16" ht="18" customHeight="1" x14ac:dyDescent="0.3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  <row r="16" spans="2:16" ht="18" customHeight="1" x14ac:dyDescent="0.3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2:16" ht="18" customHeight="1" x14ac:dyDescent="0.3"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2:16" ht="18" customHeight="1" x14ac:dyDescent="0.3"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</row>
    <row r="19" spans="2:16" ht="18" customHeight="1" x14ac:dyDescent="0.3"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</row>
  </sheetData>
  <dataValidations count="1">
    <dataValidation type="list" allowBlank="1" showDropDown="1" showInputMessage="1" showErrorMessage="1" sqref="G5" xr:uid="{00000000-0002-0000-0200-000000000000}">
      <formula1>$D$5:$D$12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B1:O37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/>
    </sheetView>
  </sheetViews>
  <sheetFormatPr defaultColWidth="0" defaultRowHeight="14.4" zeroHeight="1" x14ac:dyDescent="0.3"/>
  <cols>
    <col min="1" max="1" width="8.88671875" hidden="1" customWidth="1"/>
    <col min="2" max="2" width="9.33203125" bestFit="1" customWidth="1"/>
    <col min="3" max="3" width="27.6640625" customWidth="1"/>
    <col min="4" max="4" width="13.33203125" customWidth="1"/>
    <col min="5" max="5" width="27.6640625" customWidth="1"/>
    <col min="6" max="6" width="63.5546875" customWidth="1"/>
    <col min="7" max="7" width="20" customWidth="1"/>
    <col min="8" max="8" width="40" customWidth="1"/>
    <col min="9" max="9" width="0.109375" customWidth="1"/>
    <col min="10" max="15" width="0" hidden="1" customWidth="1"/>
    <col min="16" max="16384" width="8.88671875" hidden="1"/>
  </cols>
  <sheetData>
    <row r="1" spans="2:8" ht="51" customHeight="1" x14ac:dyDescent="0.3">
      <c r="B1" s="14" t="e">
        <f>CONCATENATE("Olá, ",LEFT(actv[],1),LOWER(RIGHT(actv[],LEN(actv[])-1)))</f>
        <v>#VALUE!</v>
      </c>
      <c r="C1" s="14"/>
      <c r="D1" s="15"/>
      <c r="E1" s="15"/>
      <c r="F1" s="15"/>
      <c r="G1" s="15"/>
      <c r="H1" s="15">
        <v>0</v>
      </c>
    </row>
    <row r="2" spans="2:8" ht="48" customHeight="1" x14ac:dyDescent="0.3">
      <c r="B2" s="39"/>
      <c r="C2" s="40"/>
      <c r="D2" s="40"/>
      <c r="E2" s="40"/>
      <c r="F2" s="40"/>
      <c r="G2" s="40"/>
      <c r="H2" s="41"/>
    </row>
    <row r="3" spans="2:8" ht="21" customHeight="1" x14ac:dyDescent="0.3">
      <c r="B3" s="11" t="s">
        <v>50</v>
      </c>
      <c r="C3" s="11" t="s">
        <v>0</v>
      </c>
      <c r="D3" s="11" t="s">
        <v>48</v>
      </c>
      <c r="E3" s="11" t="s">
        <v>1</v>
      </c>
      <c r="F3" s="11" t="s">
        <v>2</v>
      </c>
      <c r="G3" s="11" t="s">
        <v>4</v>
      </c>
      <c r="H3" s="11" t="s">
        <v>49</v>
      </c>
    </row>
    <row r="4" spans="2:8" ht="21" customHeight="1" x14ac:dyDescent="0.4">
      <c r="B4" s="9">
        <f>COUNTA($C$4:cadProdutos[[#This Row],[CODIGO DE BARRAS]])</f>
        <v>1</v>
      </c>
      <c r="C4" s="9" t="s">
        <v>16</v>
      </c>
      <c r="D4" s="17" t="s">
        <v>82</v>
      </c>
      <c r="E4" s="9">
        <v>296</v>
      </c>
      <c r="F4" s="13" t="s">
        <v>92</v>
      </c>
      <c r="G4" s="18">
        <v>3</v>
      </c>
      <c r="H4" s="10"/>
    </row>
    <row r="5" spans="2:8" ht="21" customHeight="1" x14ac:dyDescent="0.4">
      <c r="B5" s="9">
        <f>COUNTA($C$4:cadProdutos[[#This Row],[CODIGO DE BARRAS]])</f>
        <v>2</v>
      </c>
      <c r="C5" s="9" t="s">
        <v>16</v>
      </c>
      <c r="D5" s="17" t="s">
        <v>82</v>
      </c>
      <c r="E5" s="9">
        <v>275</v>
      </c>
      <c r="F5" s="13" t="s">
        <v>52</v>
      </c>
      <c r="G5" s="18">
        <v>2</v>
      </c>
      <c r="H5" s="10" t="s">
        <v>90</v>
      </c>
    </row>
    <row r="6" spans="2:8" ht="21" customHeight="1" x14ac:dyDescent="0.4">
      <c r="B6" s="9">
        <f>COUNTA($C$4:cadProdutos[[#This Row],[CODIGO DE BARRAS]])</f>
        <v>3</v>
      </c>
      <c r="C6" s="9" t="s">
        <v>16</v>
      </c>
      <c r="D6" s="17" t="s">
        <v>82</v>
      </c>
      <c r="E6" s="9">
        <v>282</v>
      </c>
      <c r="F6" s="13" t="s">
        <v>21</v>
      </c>
      <c r="G6" s="18">
        <v>2</v>
      </c>
      <c r="H6" s="10"/>
    </row>
    <row r="7" spans="2:8" ht="21" customHeight="1" x14ac:dyDescent="0.4">
      <c r="B7" s="9">
        <f>COUNTA($C$4:cadProdutos[[#This Row],[CODIGO DE BARRAS]])</f>
        <v>4</v>
      </c>
      <c r="C7" s="9" t="s">
        <v>16</v>
      </c>
      <c r="D7" s="17" t="s">
        <v>82</v>
      </c>
      <c r="E7" s="9">
        <v>286</v>
      </c>
      <c r="F7" s="13" t="s">
        <v>19</v>
      </c>
      <c r="G7" s="18">
        <v>13</v>
      </c>
      <c r="H7" s="10" t="s">
        <v>83</v>
      </c>
    </row>
    <row r="8" spans="2:8" ht="21" customHeight="1" x14ac:dyDescent="0.4">
      <c r="B8" s="9">
        <f>COUNTA($C$4:cadProdutos[[#This Row],[CODIGO DE BARRAS]])</f>
        <v>5</v>
      </c>
      <c r="C8" s="9" t="s">
        <v>16</v>
      </c>
      <c r="D8" s="17" t="s">
        <v>82</v>
      </c>
      <c r="E8" s="9">
        <v>288</v>
      </c>
      <c r="F8" s="13" t="s">
        <v>38</v>
      </c>
      <c r="G8" s="18">
        <v>10</v>
      </c>
      <c r="H8" s="10" t="s">
        <v>84</v>
      </c>
    </row>
    <row r="9" spans="2:8" ht="21" customHeight="1" x14ac:dyDescent="0.4">
      <c r="B9" s="9">
        <f>COUNTA($C$4:cadProdutos[[#This Row],[CODIGO DE BARRAS]])</f>
        <v>6</v>
      </c>
      <c r="C9" s="9">
        <v>7898211660105</v>
      </c>
      <c r="D9" s="17" t="s">
        <v>82</v>
      </c>
      <c r="E9" s="9">
        <v>307</v>
      </c>
      <c r="F9" s="13" t="s">
        <v>6</v>
      </c>
      <c r="G9" s="18">
        <v>19</v>
      </c>
      <c r="H9" s="10"/>
    </row>
    <row r="10" spans="2:8" ht="21" customHeight="1" x14ac:dyDescent="0.4">
      <c r="B10" s="9">
        <f>COUNTA($C$4:cadProdutos[[#This Row],[CODIGO DE BARRAS]])</f>
        <v>7</v>
      </c>
      <c r="C10" s="9">
        <v>7898211660068</v>
      </c>
      <c r="D10" s="17" t="s">
        <v>82</v>
      </c>
      <c r="E10" s="9">
        <v>306</v>
      </c>
      <c r="F10" s="13" t="s">
        <v>5</v>
      </c>
      <c r="G10" s="18">
        <v>6</v>
      </c>
      <c r="H10" s="10" t="s">
        <v>63</v>
      </c>
    </row>
    <row r="11" spans="2:8" ht="21" customHeight="1" x14ac:dyDescent="0.4">
      <c r="B11" s="9">
        <f>COUNTA($C$4:cadProdutos[[#This Row],[CODIGO DE BARRAS]])</f>
        <v>8</v>
      </c>
      <c r="C11" s="9">
        <v>7898211660723</v>
      </c>
      <c r="D11" s="17" t="s">
        <v>82</v>
      </c>
      <c r="E11" s="9">
        <v>326</v>
      </c>
      <c r="F11" s="13" t="s">
        <v>14</v>
      </c>
      <c r="G11" s="18">
        <v>15</v>
      </c>
      <c r="H11" s="10"/>
    </row>
    <row r="12" spans="2:8" ht="21" customHeight="1" x14ac:dyDescent="0.4">
      <c r="B12" s="9">
        <f>COUNTA($C$4:cadProdutos[[#This Row],[CODIGO DE BARRAS]])</f>
        <v>9</v>
      </c>
      <c r="C12" s="9">
        <v>7898211660747</v>
      </c>
      <c r="D12" s="17" t="s">
        <v>82</v>
      </c>
      <c r="E12" s="9">
        <v>328</v>
      </c>
      <c r="F12" s="19" t="s">
        <v>7</v>
      </c>
      <c r="G12" s="18">
        <v>8</v>
      </c>
      <c r="H12" s="10"/>
    </row>
    <row r="13" spans="2:8" ht="21" customHeight="1" x14ac:dyDescent="0.4">
      <c r="B13" s="9">
        <f>COUNTA($C$4:cadProdutos[[#This Row],[CODIGO DE BARRAS]])</f>
        <v>10</v>
      </c>
      <c r="C13" s="9" t="s">
        <v>16</v>
      </c>
      <c r="D13" s="17" t="s">
        <v>82</v>
      </c>
      <c r="E13" s="9">
        <v>352</v>
      </c>
      <c r="F13" s="13" t="s">
        <v>51</v>
      </c>
      <c r="G13" s="18">
        <v>3</v>
      </c>
      <c r="H13" s="10"/>
    </row>
    <row r="14" spans="2:8" ht="21" customHeight="1" x14ac:dyDescent="0.4">
      <c r="B14" s="9">
        <f>COUNTA($C$4:cadProdutos[[#This Row],[CODIGO DE BARRAS]])</f>
        <v>11</v>
      </c>
      <c r="C14" s="9" t="s">
        <v>16</v>
      </c>
      <c r="D14" s="17" t="s">
        <v>82</v>
      </c>
      <c r="E14" s="9">
        <v>340</v>
      </c>
      <c r="F14" s="13" t="s">
        <v>85</v>
      </c>
      <c r="G14" s="18">
        <v>1</v>
      </c>
      <c r="H14" s="10"/>
    </row>
    <row r="15" spans="2:8" ht="21" customHeight="1" x14ac:dyDescent="0.4">
      <c r="B15" s="9">
        <f>COUNTA($C$4:cadProdutos[[#This Row],[CODIGO DE BARRAS]])</f>
        <v>12</v>
      </c>
      <c r="C15" s="9">
        <v>7898211660785</v>
      </c>
      <c r="D15" s="17" t="s">
        <v>82</v>
      </c>
      <c r="E15" s="9">
        <v>332</v>
      </c>
      <c r="F15" s="13" t="s">
        <v>8</v>
      </c>
      <c r="G15" s="18">
        <v>0</v>
      </c>
      <c r="H15" s="10"/>
    </row>
    <row r="16" spans="2:8" ht="21" customHeight="1" x14ac:dyDescent="0.4">
      <c r="B16" s="9">
        <f>COUNTA($C$4:cadProdutos[[#This Row],[CODIGO DE BARRAS]])</f>
        <v>13</v>
      </c>
      <c r="C16" s="9">
        <v>7898211660877</v>
      </c>
      <c r="D16" s="17" t="s">
        <v>82</v>
      </c>
      <c r="E16" s="9">
        <v>333</v>
      </c>
      <c r="F16" s="13" t="s">
        <v>10</v>
      </c>
      <c r="G16" s="18">
        <v>8</v>
      </c>
      <c r="H16" s="10"/>
    </row>
    <row r="17" spans="2:15" ht="21" customHeight="1" x14ac:dyDescent="0.4">
      <c r="B17" s="9">
        <f>COUNTA($C$4:cadProdutos[[#This Row],[CODIGO DE BARRAS]])</f>
        <v>14</v>
      </c>
      <c r="C17" s="9">
        <v>7898211660051</v>
      </c>
      <c r="D17" s="17" t="s">
        <v>82</v>
      </c>
      <c r="E17" s="9">
        <v>317</v>
      </c>
      <c r="F17" s="13" t="s">
        <v>9</v>
      </c>
      <c r="G17" s="18">
        <v>14</v>
      </c>
      <c r="H17" s="10"/>
    </row>
    <row r="18" spans="2:15" ht="21" customHeight="1" x14ac:dyDescent="0.4">
      <c r="B18" s="9">
        <f>COUNTA($C$4:cadProdutos[[#This Row],[CODIGO DE BARRAS]])</f>
        <v>15</v>
      </c>
      <c r="C18" s="9" t="s">
        <v>16</v>
      </c>
      <c r="D18" s="17" t="s">
        <v>82</v>
      </c>
      <c r="E18" s="9">
        <v>321</v>
      </c>
      <c r="F18" s="13" t="s">
        <v>20</v>
      </c>
      <c r="G18" s="18">
        <v>8</v>
      </c>
      <c r="H18" s="10"/>
    </row>
    <row r="19" spans="2:15" ht="21" customHeight="1" x14ac:dyDescent="0.4">
      <c r="B19" s="9">
        <f>COUNTA($C$4:cadProdutos[[#This Row],[CODIGO DE BARRAS]])</f>
        <v>16</v>
      </c>
      <c r="C19" s="9" t="s">
        <v>16</v>
      </c>
      <c r="D19" s="17" t="s">
        <v>82</v>
      </c>
      <c r="E19" s="9">
        <v>159</v>
      </c>
      <c r="F19" s="13" t="s">
        <v>43</v>
      </c>
      <c r="G19" s="18">
        <v>16</v>
      </c>
      <c r="H19" s="10"/>
      <c r="O19" s="1"/>
    </row>
    <row r="20" spans="2:15" ht="21" customHeight="1" x14ac:dyDescent="0.4">
      <c r="B20" s="9">
        <f>COUNTA($C$4:cadProdutos[[#This Row],[CODIGO DE BARRAS]])</f>
        <v>17</v>
      </c>
      <c r="C20" s="9" t="s">
        <v>16</v>
      </c>
      <c r="D20" s="17" t="s">
        <v>82</v>
      </c>
      <c r="E20" s="9">
        <v>254</v>
      </c>
      <c r="F20" s="13" t="s">
        <v>18</v>
      </c>
      <c r="G20" s="18">
        <v>2</v>
      </c>
      <c r="H20" s="10"/>
    </row>
    <row r="21" spans="2:15" ht="21" customHeight="1" x14ac:dyDescent="0.4">
      <c r="B21" s="9">
        <f>COUNTA($C$4:cadProdutos[[#This Row],[CODIGO DE BARRAS]])</f>
        <v>18</v>
      </c>
      <c r="C21" s="9" t="s">
        <v>16</v>
      </c>
      <c r="D21" s="17" t="s">
        <v>82</v>
      </c>
      <c r="E21" s="9">
        <v>252</v>
      </c>
      <c r="F21" s="13" t="s">
        <v>44</v>
      </c>
      <c r="G21" s="18">
        <v>5</v>
      </c>
      <c r="H21" s="10"/>
    </row>
    <row r="22" spans="2:15" ht="21" customHeight="1" x14ac:dyDescent="0.4">
      <c r="B22" s="9">
        <f>COUNTA($C$4:cadProdutos[[#This Row],[CODIGO DE BARRAS]])</f>
        <v>19</v>
      </c>
      <c r="C22" s="9" t="s">
        <v>16</v>
      </c>
      <c r="D22" s="17" t="s">
        <v>86</v>
      </c>
      <c r="E22" s="9">
        <v>29107</v>
      </c>
      <c r="F22" s="13" t="s">
        <v>17</v>
      </c>
      <c r="G22" s="18">
        <v>40</v>
      </c>
      <c r="H22" s="10"/>
    </row>
    <row r="23" spans="2:15" ht="21" customHeight="1" x14ac:dyDescent="0.4">
      <c r="B23" s="9">
        <f>COUNTA($C$4:cadProdutos[[#This Row],[CODIGO DE BARRAS]])</f>
        <v>20</v>
      </c>
      <c r="C23" s="9" t="s">
        <v>16</v>
      </c>
      <c r="D23" s="17" t="s">
        <v>86</v>
      </c>
      <c r="E23" s="9">
        <v>29106</v>
      </c>
      <c r="F23" s="13" t="s">
        <v>35</v>
      </c>
      <c r="G23" s="18">
        <v>4</v>
      </c>
      <c r="H23" s="10"/>
    </row>
    <row r="24" spans="2:15" ht="21" customHeight="1" x14ac:dyDescent="0.4">
      <c r="B24" s="9">
        <f>COUNTA($C$4:cadProdutos[[#This Row],[CODIGO DE BARRAS]])</f>
        <v>21</v>
      </c>
      <c r="C24" s="9" t="s">
        <v>16</v>
      </c>
      <c r="D24" s="17" t="s">
        <v>86</v>
      </c>
      <c r="E24" s="9">
        <v>29901</v>
      </c>
      <c r="F24" s="13" t="s">
        <v>36</v>
      </c>
      <c r="G24" s="18">
        <v>3</v>
      </c>
      <c r="H24" s="10"/>
    </row>
    <row r="25" spans="2:15" ht="21" customHeight="1" x14ac:dyDescent="0.4">
      <c r="B25" s="9">
        <f>COUNTA($C$4:cadProdutos[[#This Row],[CODIGO DE BARRAS]])</f>
        <v>22</v>
      </c>
      <c r="C25" s="9" t="s">
        <v>16</v>
      </c>
      <c r="D25" s="17" t="s">
        <v>86</v>
      </c>
      <c r="E25" s="9">
        <v>29902</v>
      </c>
      <c r="F25" s="13" t="s">
        <v>37</v>
      </c>
      <c r="G25" s="18">
        <v>3</v>
      </c>
      <c r="H25" s="10"/>
    </row>
    <row r="26" spans="2:15" ht="21" customHeight="1" x14ac:dyDescent="0.4">
      <c r="B26" s="9">
        <f>COUNTA($C$4:cadProdutos[[#This Row],[CODIGO DE BARRAS]])</f>
        <v>23</v>
      </c>
      <c r="C26" s="9">
        <v>7898211660570</v>
      </c>
      <c r="D26" s="17" t="s">
        <v>86</v>
      </c>
      <c r="E26" s="9">
        <v>29713</v>
      </c>
      <c r="F26" s="13" t="s">
        <v>39</v>
      </c>
      <c r="G26" s="18">
        <v>0</v>
      </c>
      <c r="H26" s="10"/>
    </row>
    <row r="27" spans="2:15" ht="21" customHeight="1" x14ac:dyDescent="0.4">
      <c r="B27" s="9">
        <f>COUNTA($C$4:cadProdutos[[#This Row],[CODIGO DE BARRAS]])</f>
        <v>24</v>
      </c>
      <c r="C27" s="9">
        <v>7898211660563</v>
      </c>
      <c r="D27" s="17" t="s">
        <v>86</v>
      </c>
      <c r="E27" s="9">
        <v>29712</v>
      </c>
      <c r="F27" s="13" t="s">
        <v>42</v>
      </c>
      <c r="G27" s="18">
        <v>0</v>
      </c>
      <c r="H27" s="10"/>
    </row>
    <row r="28" spans="2:15" ht="21" customHeight="1" x14ac:dyDescent="0.4">
      <c r="B28" s="9">
        <f>COUNTA($C$4:cadProdutos[[#This Row],[CODIGO DE BARRAS]])</f>
        <v>25</v>
      </c>
      <c r="C28" s="9">
        <v>7898211660716</v>
      </c>
      <c r="D28" s="17" t="s">
        <v>86</v>
      </c>
      <c r="E28" s="9">
        <v>29741</v>
      </c>
      <c r="F28" s="13" t="s">
        <v>41</v>
      </c>
      <c r="G28" s="18">
        <v>4</v>
      </c>
      <c r="H28" s="10"/>
    </row>
    <row r="29" spans="2:15" ht="21" customHeight="1" x14ac:dyDescent="0.4">
      <c r="B29" s="9">
        <f>COUNTA($C$4:cadProdutos[[#This Row],[CODIGO DE BARRAS]])</f>
        <v>26</v>
      </c>
      <c r="C29" s="9">
        <v>7898211660518</v>
      </c>
      <c r="D29" s="17" t="s">
        <v>86</v>
      </c>
      <c r="E29" s="9">
        <v>29720</v>
      </c>
      <c r="F29" s="13" t="s">
        <v>40</v>
      </c>
      <c r="G29" s="18">
        <v>35</v>
      </c>
      <c r="H29" s="10"/>
    </row>
    <row r="30" spans="2:15" ht="21" customHeight="1" x14ac:dyDescent="0.4">
      <c r="B30" s="9">
        <f>COUNTA($C$4:cadProdutos[[#This Row],[CODIGO DE BARRAS]])</f>
        <v>27</v>
      </c>
      <c r="C30" s="9">
        <v>7898211660501</v>
      </c>
      <c r="D30" s="17" t="s">
        <v>86</v>
      </c>
      <c r="E30" s="9">
        <v>29715</v>
      </c>
      <c r="F30" s="13" t="s">
        <v>13</v>
      </c>
      <c r="G30" s="18">
        <v>20</v>
      </c>
      <c r="H30" s="10"/>
    </row>
    <row r="31" spans="2:15" ht="21" customHeight="1" x14ac:dyDescent="0.4">
      <c r="B31" s="9">
        <f>COUNTA($C$4:cadProdutos[[#This Row],[CODIGO DE BARRAS]])</f>
        <v>28</v>
      </c>
      <c r="C31" s="9">
        <v>7898211660679</v>
      </c>
      <c r="D31" s="17" t="s">
        <v>86</v>
      </c>
      <c r="E31" s="9">
        <v>29714</v>
      </c>
      <c r="F31" s="13" t="s">
        <v>23</v>
      </c>
      <c r="G31" s="18">
        <v>6</v>
      </c>
      <c r="H31" s="10"/>
    </row>
    <row r="32" spans="2:15" ht="21" customHeight="1" x14ac:dyDescent="0.4">
      <c r="B32" s="9">
        <f>COUNTA($C$4:cadProdutos[[#This Row],[CODIGO DE BARRAS]])</f>
        <v>29</v>
      </c>
      <c r="C32" s="9">
        <v>7898211660495</v>
      </c>
      <c r="D32" s="17" t="s">
        <v>86</v>
      </c>
      <c r="E32" s="9">
        <v>29904</v>
      </c>
      <c r="F32" s="13" t="s">
        <v>34</v>
      </c>
      <c r="G32" s="18">
        <v>26</v>
      </c>
      <c r="H32" s="10" t="s">
        <v>64</v>
      </c>
    </row>
    <row r="33" spans="2:8" ht="21" customHeight="1" x14ac:dyDescent="0.4">
      <c r="B33" s="9">
        <f>COUNTA($C$4:cadProdutos[[#This Row],[CODIGO DE BARRAS]])</f>
        <v>30</v>
      </c>
      <c r="C33" s="9" t="s">
        <v>16</v>
      </c>
      <c r="D33" s="17" t="s">
        <v>86</v>
      </c>
      <c r="E33" s="9">
        <v>29204</v>
      </c>
      <c r="F33" s="13" t="s">
        <v>65</v>
      </c>
      <c r="G33" s="18">
        <v>2</v>
      </c>
      <c r="H33" s="10"/>
    </row>
    <row r="34" spans="2:8" ht="21" customHeight="1" x14ac:dyDescent="0.4">
      <c r="B34" s="9">
        <f>COUNTA($C$4:cadProdutos[[#This Row],[CODIGO DE BARRAS]])</f>
        <v>31</v>
      </c>
      <c r="C34" s="9" t="s">
        <v>16</v>
      </c>
      <c r="D34" s="17" t="s">
        <v>86</v>
      </c>
      <c r="E34" s="9">
        <v>29437</v>
      </c>
      <c r="F34" s="13" t="s">
        <v>87</v>
      </c>
      <c r="G34" s="18">
        <v>15</v>
      </c>
      <c r="H34" s="10"/>
    </row>
    <row r="35" spans="2:8" ht="21" customHeight="1" x14ac:dyDescent="0.4">
      <c r="B35" s="9">
        <f>COUNTA($C$4:cadProdutos[[#This Row],[CODIGO DE BARRAS]])</f>
        <v>32</v>
      </c>
      <c r="C35" s="9" t="s">
        <v>16</v>
      </c>
      <c r="D35" s="17" t="s">
        <v>86</v>
      </c>
      <c r="E35" s="9">
        <v>29634</v>
      </c>
      <c r="F35" s="13" t="s">
        <v>88</v>
      </c>
      <c r="G35" s="18">
        <v>15</v>
      </c>
      <c r="H35" s="10"/>
    </row>
    <row r="36" spans="2:8" ht="21" customHeight="1" x14ac:dyDescent="0.4">
      <c r="B36" s="9">
        <f>COUNTA($C$4:cadProdutos[[#This Row],[CODIGO DE BARRAS]])</f>
        <v>33</v>
      </c>
      <c r="C36" s="9" t="s">
        <v>16</v>
      </c>
      <c r="D36" s="17" t="s">
        <v>86</v>
      </c>
      <c r="E36" s="9">
        <v>29606</v>
      </c>
      <c r="F36" s="13" t="s">
        <v>89</v>
      </c>
      <c r="G36" s="18">
        <v>1</v>
      </c>
      <c r="H36" s="10"/>
    </row>
    <row r="37" spans="2:8" ht="21" customHeight="1" x14ac:dyDescent="0.4">
      <c r="B37" s="9">
        <f>COUNTA($C$4:cadProdutos[[#This Row],[CODIGO DE BARRAS]])</f>
        <v>34</v>
      </c>
      <c r="C37" s="9" t="s">
        <v>16</v>
      </c>
      <c r="D37" s="17" t="s">
        <v>86</v>
      </c>
      <c r="E37" s="9">
        <v>29436</v>
      </c>
      <c r="F37" s="13" t="s">
        <v>72</v>
      </c>
      <c r="G37" s="18">
        <v>19</v>
      </c>
      <c r="H37" s="10"/>
    </row>
  </sheetData>
  <sortState xmlns:xlrd2="http://schemas.microsoft.com/office/spreadsheetml/2017/richdata2" ref="B4:H37">
    <sortCondition ref="D4"/>
  </sortState>
  <mergeCells count="1">
    <mergeCell ref="B2:H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E72C-123B-4B7E-9E56-57BFF92CF826}">
  <sheetPr codeName="Planilha8"/>
  <dimension ref="B1:M37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 activeCell="G4" sqref="G4"/>
    </sheetView>
  </sheetViews>
  <sheetFormatPr defaultColWidth="0" defaultRowHeight="14.4" customHeight="1" zeroHeight="1" x14ac:dyDescent="0.3"/>
  <cols>
    <col min="1" max="1" width="8.88671875" hidden="1" customWidth="1"/>
    <col min="2" max="2" width="9.33203125" bestFit="1" customWidth="1"/>
    <col min="3" max="3" width="27.77734375" customWidth="1"/>
    <col min="4" max="4" width="16.6640625" customWidth="1"/>
    <col min="5" max="5" width="27.77734375" customWidth="1"/>
    <col min="6" max="6" width="63.5546875" customWidth="1"/>
    <col min="7" max="8" width="26.6640625" customWidth="1"/>
    <col min="9" max="16384" width="8.88671875" hidden="1"/>
  </cols>
  <sheetData>
    <row r="1" spans="2:8" ht="51" customHeight="1" x14ac:dyDescent="0.3">
      <c r="B1" s="14" t="e">
        <f>CONCATENATE("Olá, ",LEFT(actv[],1),LOWER(RIGHT(actv[],LEN(actv[])-1)))</f>
        <v>#VALUE!</v>
      </c>
      <c r="C1" s="14"/>
      <c r="D1" s="15"/>
      <c r="E1" s="15"/>
      <c r="F1" s="15"/>
      <c r="G1" s="15"/>
      <c r="H1" s="54"/>
    </row>
    <row r="2" spans="2:8" ht="48" customHeight="1" x14ac:dyDescent="0.3">
      <c r="B2" s="42"/>
      <c r="C2" s="43"/>
      <c r="D2" s="43"/>
      <c r="E2" s="43"/>
      <c r="F2" s="43"/>
      <c r="G2" s="43"/>
      <c r="H2" s="55"/>
    </row>
    <row r="3" spans="2:8" ht="21" customHeight="1" x14ac:dyDescent="0.3">
      <c r="B3" s="11" t="s">
        <v>50</v>
      </c>
      <c r="C3" s="11" t="s">
        <v>0</v>
      </c>
      <c r="D3" s="11" t="s">
        <v>48</v>
      </c>
      <c r="E3" s="11" t="s">
        <v>1</v>
      </c>
      <c r="F3" s="11" t="s">
        <v>2</v>
      </c>
      <c r="G3" s="11" t="s">
        <v>91</v>
      </c>
      <c r="H3" s="56"/>
    </row>
    <row r="4" spans="2:8" ht="21" customHeight="1" x14ac:dyDescent="0.4">
      <c r="B4" s="9">
        <f>COUNTA($C$4:cadProdutos8[[#This Row],[CODIGO DE BARRAS]])</f>
        <v>1</v>
      </c>
      <c r="C4" s="9" t="s">
        <v>16</v>
      </c>
      <c r="D4" s="17" t="s">
        <v>82</v>
      </c>
      <c r="E4" s="9">
        <v>296</v>
      </c>
      <c r="F4" s="13" t="s">
        <v>92</v>
      </c>
      <c r="G4" s="13"/>
      <c r="H4" s="57"/>
    </row>
    <row r="5" spans="2:8" ht="21" customHeight="1" x14ac:dyDescent="0.4">
      <c r="B5" s="9">
        <f>COUNTA($C$4:cadProdutos8[[#This Row],[CODIGO DE BARRAS]])</f>
        <v>2</v>
      </c>
      <c r="C5" s="9" t="s">
        <v>16</v>
      </c>
      <c r="D5" s="17" t="s">
        <v>82</v>
      </c>
      <c r="E5" s="9">
        <v>275</v>
      </c>
      <c r="F5" s="13" t="s">
        <v>52</v>
      </c>
      <c r="G5" s="13"/>
      <c r="H5" s="57"/>
    </row>
    <row r="6" spans="2:8" ht="21" customHeight="1" x14ac:dyDescent="0.4">
      <c r="B6" s="9">
        <f>COUNTA($C$4:cadProdutos8[[#This Row],[CODIGO DE BARRAS]])</f>
        <v>3</v>
      </c>
      <c r="C6" s="9" t="s">
        <v>16</v>
      </c>
      <c r="D6" s="17" t="s">
        <v>82</v>
      </c>
      <c r="E6" s="9">
        <v>282</v>
      </c>
      <c r="F6" s="13" t="s">
        <v>21</v>
      </c>
      <c r="G6" s="13"/>
      <c r="H6" s="57"/>
    </row>
    <row r="7" spans="2:8" ht="21" customHeight="1" x14ac:dyDescent="0.4">
      <c r="B7" s="9">
        <f>COUNTA($C$4:cadProdutos8[[#This Row],[CODIGO DE BARRAS]])</f>
        <v>4</v>
      </c>
      <c r="C7" s="9" t="s">
        <v>16</v>
      </c>
      <c r="D7" s="17" t="s">
        <v>82</v>
      </c>
      <c r="E7" s="9">
        <v>286</v>
      </c>
      <c r="F7" s="13" t="s">
        <v>19</v>
      </c>
      <c r="G7" s="13"/>
      <c r="H7" s="57"/>
    </row>
    <row r="8" spans="2:8" ht="21" customHeight="1" x14ac:dyDescent="0.4">
      <c r="B8" s="9">
        <f>COUNTA($C$4:cadProdutos8[[#This Row],[CODIGO DE BARRAS]])</f>
        <v>5</v>
      </c>
      <c r="C8" s="9" t="s">
        <v>16</v>
      </c>
      <c r="D8" s="17" t="s">
        <v>82</v>
      </c>
      <c r="E8" s="9">
        <v>288</v>
      </c>
      <c r="F8" s="13" t="s">
        <v>38</v>
      </c>
      <c r="G8" s="13"/>
      <c r="H8" s="57"/>
    </row>
    <row r="9" spans="2:8" ht="21" customHeight="1" x14ac:dyDescent="0.4">
      <c r="B9" s="9">
        <f>COUNTA($C$4:cadProdutos8[[#This Row],[CODIGO DE BARRAS]])</f>
        <v>6</v>
      </c>
      <c r="C9" s="9">
        <v>7898211660105</v>
      </c>
      <c r="D9" s="17" t="s">
        <v>82</v>
      </c>
      <c r="E9" s="9">
        <v>307</v>
      </c>
      <c r="F9" s="13" t="s">
        <v>6</v>
      </c>
      <c r="G9" s="13"/>
      <c r="H9" s="57"/>
    </row>
    <row r="10" spans="2:8" ht="21" customHeight="1" x14ac:dyDescent="0.4">
      <c r="B10" s="9">
        <f>COUNTA($C$4:cadProdutos8[[#This Row],[CODIGO DE BARRAS]])</f>
        <v>7</v>
      </c>
      <c r="C10" s="9">
        <v>7898211660068</v>
      </c>
      <c r="D10" s="17" t="s">
        <v>82</v>
      </c>
      <c r="E10" s="9">
        <v>306</v>
      </c>
      <c r="F10" s="13" t="s">
        <v>5</v>
      </c>
      <c r="G10" s="13"/>
      <c r="H10" s="57"/>
    </row>
    <row r="11" spans="2:8" ht="21" customHeight="1" x14ac:dyDescent="0.4">
      <c r="B11" s="9">
        <f>COUNTA($C$4:cadProdutos8[[#This Row],[CODIGO DE BARRAS]])</f>
        <v>8</v>
      </c>
      <c r="C11" s="9">
        <v>7898211660723</v>
      </c>
      <c r="D11" s="17" t="s">
        <v>82</v>
      </c>
      <c r="E11" s="9">
        <v>326</v>
      </c>
      <c r="F11" s="13" t="s">
        <v>14</v>
      </c>
      <c r="G11" s="13"/>
      <c r="H11" s="57"/>
    </row>
    <row r="12" spans="2:8" ht="21" customHeight="1" x14ac:dyDescent="0.4">
      <c r="B12" s="9">
        <f>COUNTA($C$4:cadProdutos8[[#This Row],[CODIGO DE BARRAS]])</f>
        <v>9</v>
      </c>
      <c r="C12" s="9">
        <v>7898211660747</v>
      </c>
      <c r="D12" s="17" t="s">
        <v>82</v>
      </c>
      <c r="E12" s="9">
        <v>328</v>
      </c>
      <c r="F12" s="19" t="s">
        <v>7</v>
      </c>
      <c r="G12" s="19"/>
      <c r="H12" s="58"/>
    </row>
    <row r="13" spans="2:8" ht="21" customHeight="1" x14ac:dyDescent="0.4">
      <c r="B13" s="9">
        <f>COUNTA($C$4:cadProdutos8[[#This Row],[CODIGO DE BARRAS]])</f>
        <v>10</v>
      </c>
      <c r="C13" s="9" t="s">
        <v>16</v>
      </c>
      <c r="D13" s="17" t="s">
        <v>82</v>
      </c>
      <c r="E13" s="9">
        <v>352</v>
      </c>
      <c r="F13" s="13" t="s">
        <v>51</v>
      </c>
      <c r="G13" s="13"/>
      <c r="H13" s="57"/>
    </row>
    <row r="14" spans="2:8" ht="21" customHeight="1" x14ac:dyDescent="0.4">
      <c r="B14" s="9">
        <f>COUNTA($C$4:cadProdutos8[[#This Row],[CODIGO DE BARRAS]])</f>
        <v>11</v>
      </c>
      <c r="C14" s="9" t="s">
        <v>16</v>
      </c>
      <c r="D14" s="17" t="s">
        <v>82</v>
      </c>
      <c r="E14" s="9">
        <v>340</v>
      </c>
      <c r="F14" s="13" t="s">
        <v>85</v>
      </c>
      <c r="G14" s="13"/>
      <c r="H14" s="57"/>
    </row>
    <row r="15" spans="2:8" ht="21" customHeight="1" x14ac:dyDescent="0.4">
      <c r="B15" s="9">
        <f>COUNTA($C$4:cadProdutos8[[#This Row],[CODIGO DE BARRAS]])</f>
        <v>12</v>
      </c>
      <c r="C15" s="9">
        <v>7898211660785</v>
      </c>
      <c r="D15" s="17" t="s">
        <v>82</v>
      </c>
      <c r="E15" s="9">
        <v>332</v>
      </c>
      <c r="F15" s="13" t="s">
        <v>8</v>
      </c>
      <c r="G15" s="13"/>
      <c r="H15" s="57"/>
    </row>
    <row r="16" spans="2:8" ht="21" customHeight="1" x14ac:dyDescent="0.4">
      <c r="B16" s="9">
        <f>COUNTA($C$4:cadProdutos8[[#This Row],[CODIGO DE BARRAS]])</f>
        <v>13</v>
      </c>
      <c r="C16" s="9">
        <v>7898211660877</v>
      </c>
      <c r="D16" s="17" t="s">
        <v>82</v>
      </c>
      <c r="E16" s="9">
        <v>333</v>
      </c>
      <c r="F16" s="13" t="s">
        <v>10</v>
      </c>
      <c r="G16" s="13"/>
      <c r="H16" s="57"/>
    </row>
    <row r="17" spans="2:13" ht="21" customHeight="1" x14ac:dyDescent="0.4">
      <c r="B17" s="9">
        <f>COUNTA($C$4:cadProdutos8[[#This Row],[CODIGO DE BARRAS]])</f>
        <v>14</v>
      </c>
      <c r="C17" s="9">
        <v>7898211660051</v>
      </c>
      <c r="D17" s="17" t="s">
        <v>82</v>
      </c>
      <c r="E17" s="9">
        <v>317</v>
      </c>
      <c r="F17" s="13" t="s">
        <v>9</v>
      </c>
      <c r="G17" s="13"/>
      <c r="H17" s="57"/>
    </row>
    <row r="18" spans="2:13" ht="21" customHeight="1" x14ac:dyDescent="0.4">
      <c r="B18" s="9">
        <f>COUNTA($C$4:cadProdutos8[[#This Row],[CODIGO DE BARRAS]])</f>
        <v>15</v>
      </c>
      <c r="C18" s="9" t="s">
        <v>16</v>
      </c>
      <c r="D18" s="17" t="s">
        <v>82</v>
      </c>
      <c r="E18" s="9">
        <v>321</v>
      </c>
      <c r="F18" s="13" t="s">
        <v>20</v>
      </c>
      <c r="G18" s="13"/>
      <c r="H18" s="57"/>
    </row>
    <row r="19" spans="2:13" ht="21" customHeight="1" x14ac:dyDescent="0.4">
      <c r="B19" s="9">
        <f>COUNTA($C$4:cadProdutos8[[#This Row],[CODIGO DE BARRAS]])</f>
        <v>16</v>
      </c>
      <c r="C19" s="9" t="s">
        <v>16</v>
      </c>
      <c r="D19" s="17" t="s">
        <v>82</v>
      </c>
      <c r="E19" s="9">
        <v>159</v>
      </c>
      <c r="F19" s="13" t="s">
        <v>43</v>
      </c>
      <c r="G19" s="13"/>
      <c r="H19" s="57"/>
      <c r="M19" s="1"/>
    </row>
    <row r="20" spans="2:13" ht="21" customHeight="1" x14ac:dyDescent="0.4">
      <c r="B20" s="9">
        <f>COUNTA($C$4:cadProdutos8[[#This Row],[CODIGO DE BARRAS]])</f>
        <v>17</v>
      </c>
      <c r="C20" s="9" t="s">
        <v>16</v>
      </c>
      <c r="D20" s="17" t="s">
        <v>82</v>
      </c>
      <c r="E20" s="9">
        <v>254</v>
      </c>
      <c r="F20" s="13" t="s">
        <v>18</v>
      </c>
      <c r="G20" s="13"/>
      <c r="H20" s="57"/>
    </row>
    <row r="21" spans="2:13" ht="21" customHeight="1" x14ac:dyDescent="0.4">
      <c r="B21" s="9">
        <f>COUNTA($C$4:cadProdutos8[[#This Row],[CODIGO DE BARRAS]])</f>
        <v>18</v>
      </c>
      <c r="C21" s="9" t="s">
        <v>16</v>
      </c>
      <c r="D21" s="17" t="s">
        <v>82</v>
      </c>
      <c r="E21" s="9">
        <v>252</v>
      </c>
      <c r="F21" s="13" t="s">
        <v>44</v>
      </c>
      <c r="G21" s="13"/>
      <c r="H21" s="57"/>
    </row>
    <row r="22" spans="2:13" ht="21" customHeight="1" x14ac:dyDescent="0.4">
      <c r="B22" s="9">
        <f>COUNTA($C$4:cadProdutos8[[#This Row],[CODIGO DE BARRAS]])</f>
        <v>19</v>
      </c>
      <c r="C22" s="9" t="s">
        <v>16</v>
      </c>
      <c r="D22" s="17" t="s">
        <v>86</v>
      </c>
      <c r="E22" s="9">
        <v>29107</v>
      </c>
      <c r="F22" s="13" t="s">
        <v>17</v>
      </c>
      <c r="G22" s="13"/>
      <c r="H22" s="57"/>
    </row>
    <row r="23" spans="2:13" ht="21" customHeight="1" x14ac:dyDescent="0.4">
      <c r="B23" s="9">
        <f>COUNTA($C$4:cadProdutos8[[#This Row],[CODIGO DE BARRAS]])</f>
        <v>20</v>
      </c>
      <c r="C23" s="9" t="s">
        <v>16</v>
      </c>
      <c r="D23" s="17" t="s">
        <v>86</v>
      </c>
      <c r="E23" s="9">
        <v>29106</v>
      </c>
      <c r="F23" s="13" t="s">
        <v>35</v>
      </c>
      <c r="G23" s="13"/>
      <c r="H23" s="57"/>
    </row>
    <row r="24" spans="2:13" ht="21" customHeight="1" x14ac:dyDescent="0.4">
      <c r="B24" s="9">
        <f>COUNTA($C$4:cadProdutos8[[#This Row],[CODIGO DE BARRAS]])</f>
        <v>21</v>
      </c>
      <c r="C24" s="9" t="s">
        <v>16</v>
      </c>
      <c r="D24" s="17" t="s">
        <v>86</v>
      </c>
      <c r="E24" s="9">
        <v>29901</v>
      </c>
      <c r="F24" s="13" t="s">
        <v>36</v>
      </c>
      <c r="G24" s="13"/>
      <c r="H24" s="57"/>
    </row>
    <row r="25" spans="2:13" ht="21" customHeight="1" x14ac:dyDescent="0.4">
      <c r="B25" s="9">
        <f>COUNTA($C$4:cadProdutos8[[#This Row],[CODIGO DE BARRAS]])</f>
        <v>22</v>
      </c>
      <c r="C25" s="9" t="s">
        <v>16</v>
      </c>
      <c r="D25" s="17" t="s">
        <v>86</v>
      </c>
      <c r="E25" s="9">
        <v>29902</v>
      </c>
      <c r="F25" s="13" t="s">
        <v>37</v>
      </c>
      <c r="G25" s="13"/>
      <c r="H25" s="57"/>
    </row>
    <row r="26" spans="2:13" ht="21" customHeight="1" x14ac:dyDescent="0.4">
      <c r="B26" s="9">
        <f>COUNTA($C$4:cadProdutos8[[#This Row],[CODIGO DE BARRAS]])</f>
        <v>23</v>
      </c>
      <c r="C26" s="9">
        <v>7898211660570</v>
      </c>
      <c r="D26" s="17" t="s">
        <v>86</v>
      </c>
      <c r="E26" s="9">
        <v>29713</v>
      </c>
      <c r="F26" s="13" t="s">
        <v>39</v>
      </c>
      <c r="G26" s="13"/>
      <c r="H26" s="57"/>
    </row>
    <row r="27" spans="2:13" ht="21" customHeight="1" x14ac:dyDescent="0.4">
      <c r="B27" s="9">
        <f>COUNTA($C$4:cadProdutos8[[#This Row],[CODIGO DE BARRAS]])</f>
        <v>24</v>
      </c>
      <c r="C27" s="9">
        <v>7898211660563</v>
      </c>
      <c r="D27" s="17" t="s">
        <v>86</v>
      </c>
      <c r="E27" s="9">
        <v>29712</v>
      </c>
      <c r="F27" s="13" t="s">
        <v>42</v>
      </c>
      <c r="G27" s="13"/>
      <c r="H27" s="57"/>
    </row>
    <row r="28" spans="2:13" ht="21" customHeight="1" x14ac:dyDescent="0.4">
      <c r="B28" s="9">
        <f>COUNTA($C$4:cadProdutos8[[#This Row],[CODIGO DE BARRAS]])</f>
        <v>25</v>
      </c>
      <c r="C28" s="9">
        <v>7898211660716</v>
      </c>
      <c r="D28" s="17" t="s">
        <v>86</v>
      </c>
      <c r="E28" s="9">
        <v>29741</v>
      </c>
      <c r="F28" s="13" t="s">
        <v>41</v>
      </c>
      <c r="G28" s="13"/>
      <c r="H28" s="57"/>
    </row>
    <row r="29" spans="2:13" ht="21" customHeight="1" x14ac:dyDescent="0.4">
      <c r="B29" s="9">
        <f>COUNTA($C$4:cadProdutos8[[#This Row],[CODIGO DE BARRAS]])</f>
        <v>26</v>
      </c>
      <c r="C29" s="9">
        <v>7898211660518</v>
      </c>
      <c r="D29" s="17" t="s">
        <v>86</v>
      </c>
      <c r="E29" s="9">
        <v>29720</v>
      </c>
      <c r="F29" s="13" t="s">
        <v>40</v>
      </c>
      <c r="G29" s="13"/>
      <c r="H29" s="57"/>
    </row>
    <row r="30" spans="2:13" ht="21" customHeight="1" x14ac:dyDescent="0.4">
      <c r="B30" s="9">
        <f>COUNTA($C$4:cadProdutos8[[#This Row],[CODIGO DE BARRAS]])</f>
        <v>27</v>
      </c>
      <c r="C30" s="9">
        <v>7898211660501</v>
      </c>
      <c r="D30" s="17" t="s">
        <v>86</v>
      </c>
      <c r="E30" s="9">
        <v>29715</v>
      </c>
      <c r="F30" s="13" t="s">
        <v>13</v>
      </c>
      <c r="G30" s="13"/>
      <c r="H30" s="57"/>
    </row>
    <row r="31" spans="2:13" ht="21" customHeight="1" x14ac:dyDescent="0.4">
      <c r="B31" s="9">
        <f>COUNTA($C$4:cadProdutos8[[#This Row],[CODIGO DE BARRAS]])</f>
        <v>28</v>
      </c>
      <c r="C31" s="9">
        <v>7898211660679</v>
      </c>
      <c r="D31" s="17" t="s">
        <v>86</v>
      </c>
      <c r="E31" s="9">
        <v>29714</v>
      </c>
      <c r="F31" s="13" t="s">
        <v>23</v>
      </c>
      <c r="G31" s="13"/>
      <c r="H31" s="57"/>
    </row>
    <row r="32" spans="2:13" ht="21" customHeight="1" x14ac:dyDescent="0.4">
      <c r="B32" s="9">
        <f>COUNTA($C$4:cadProdutos8[[#This Row],[CODIGO DE BARRAS]])</f>
        <v>29</v>
      </c>
      <c r="C32" s="9">
        <v>7898211660495</v>
      </c>
      <c r="D32" s="17" t="s">
        <v>86</v>
      </c>
      <c r="E32" s="9">
        <v>29904</v>
      </c>
      <c r="F32" s="13" t="s">
        <v>34</v>
      </c>
      <c r="G32" s="13"/>
      <c r="H32" s="57"/>
    </row>
    <row r="33" spans="2:8" ht="21" customHeight="1" x14ac:dyDescent="0.4">
      <c r="B33" s="9">
        <f>COUNTA($C$4:cadProdutos8[[#This Row],[CODIGO DE BARRAS]])</f>
        <v>30</v>
      </c>
      <c r="C33" s="9" t="s">
        <v>16</v>
      </c>
      <c r="D33" s="17" t="s">
        <v>86</v>
      </c>
      <c r="E33" s="9">
        <v>29204</v>
      </c>
      <c r="F33" s="13" t="s">
        <v>65</v>
      </c>
      <c r="G33" s="13"/>
      <c r="H33" s="57"/>
    </row>
    <row r="34" spans="2:8" ht="21" customHeight="1" x14ac:dyDescent="0.4">
      <c r="B34" s="9">
        <f>COUNTA($C$4:cadProdutos8[[#This Row],[CODIGO DE BARRAS]])</f>
        <v>31</v>
      </c>
      <c r="C34" s="9" t="s">
        <v>16</v>
      </c>
      <c r="D34" s="17" t="s">
        <v>86</v>
      </c>
      <c r="E34" s="9">
        <v>29437</v>
      </c>
      <c r="F34" s="13" t="s">
        <v>87</v>
      </c>
      <c r="G34" s="13"/>
      <c r="H34" s="57"/>
    </row>
    <row r="35" spans="2:8" ht="21" customHeight="1" x14ac:dyDescent="0.4">
      <c r="B35" s="9">
        <f>COUNTA($C$4:cadProdutos8[[#This Row],[CODIGO DE BARRAS]])</f>
        <v>32</v>
      </c>
      <c r="C35" s="9" t="s">
        <v>16</v>
      </c>
      <c r="D35" s="17" t="s">
        <v>86</v>
      </c>
      <c r="E35" s="9">
        <v>29634</v>
      </c>
      <c r="F35" s="13" t="s">
        <v>88</v>
      </c>
      <c r="G35" s="13"/>
      <c r="H35" s="57"/>
    </row>
    <row r="36" spans="2:8" ht="21" customHeight="1" x14ac:dyDescent="0.4">
      <c r="B36" s="9">
        <f>COUNTA($C$4:cadProdutos8[[#This Row],[CODIGO DE BARRAS]])</f>
        <v>33</v>
      </c>
      <c r="C36" s="9" t="s">
        <v>16</v>
      </c>
      <c r="D36" s="17" t="s">
        <v>86</v>
      </c>
      <c r="E36" s="9">
        <v>29606</v>
      </c>
      <c r="F36" s="13" t="s">
        <v>89</v>
      </c>
      <c r="G36" s="13"/>
      <c r="H36" s="57"/>
    </row>
    <row r="37" spans="2:8" ht="21" customHeight="1" x14ac:dyDescent="0.4">
      <c r="B37" s="9">
        <f>COUNTA($C$4:cadProdutos8[[#This Row],[CODIGO DE BARRAS]])</f>
        <v>34</v>
      </c>
      <c r="C37" s="9" t="s">
        <v>16</v>
      </c>
      <c r="D37" s="17" t="s">
        <v>86</v>
      </c>
      <c r="E37" s="9">
        <v>29436</v>
      </c>
      <c r="F37" s="13" t="s">
        <v>72</v>
      </c>
      <c r="G37" s="13"/>
      <c r="H37" s="57"/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5ACC9-5230-413B-8033-17ECCF0C2B29}">
  <sheetPr codeName="Planilha9"/>
  <dimension ref="B1:O37"/>
  <sheetViews>
    <sheetView showGridLines="0" topLeftCell="B1" zoomScaleNormal="110" workbookViewId="0">
      <pane ySplit="3" topLeftCell="A4" activePane="bottomLeft" state="frozen"/>
      <selection activeCell="B1" sqref="B1"/>
      <selection pane="bottomLeft" activeCell="E4" sqref="E4"/>
    </sheetView>
  </sheetViews>
  <sheetFormatPr defaultColWidth="0" defaultRowHeight="14.4" customHeight="1" zeroHeight="1" x14ac:dyDescent="0.3"/>
  <cols>
    <col min="1" max="1" width="8.88671875" hidden="1" customWidth="1"/>
    <col min="2" max="2" width="9.33203125" bestFit="1" customWidth="1"/>
    <col min="3" max="3" width="27.6640625" hidden="1" customWidth="1"/>
    <col min="4" max="4" width="27.6640625" customWidth="1"/>
    <col min="5" max="5" width="63.5546875" customWidth="1"/>
    <col min="6" max="6" width="23.33203125" customWidth="1"/>
    <col min="7" max="7" width="40" customWidth="1"/>
    <col min="8" max="8" width="0.109375" customWidth="1"/>
    <col min="9" max="15" width="0" hidden="1" customWidth="1"/>
    <col min="16" max="16384" width="8.88671875" hidden="1"/>
  </cols>
  <sheetData>
    <row r="1" spans="2:8" ht="51" customHeight="1" x14ac:dyDescent="0.3">
      <c r="B1" s="14" t="e">
        <f>CONCATENATE("Olá, ",LEFT(actv[],1),LOWER(RIGHT(actv[],LEN(actv[])-1)))</f>
        <v>#VALUE!</v>
      </c>
      <c r="C1" s="14"/>
      <c r="D1" s="15"/>
      <c r="E1" s="15"/>
      <c r="F1" s="15"/>
      <c r="G1" s="15">
        <v>0</v>
      </c>
      <c r="H1" s="34"/>
    </row>
    <row r="2" spans="2:8" ht="48" customHeight="1" x14ac:dyDescent="0.3">
      <c r="B2" s="39"/>
      <c r="C2" s="40"/>
      <c r="D2" s="40"/>
      <c r="E2" s="40"/>
      <c r="F2" s="40"/>
      <c r="G2" s="44"/>
      <c r="H2" s="34"/>
    </row>
    <row r="3" spans="2:8" ht="21" customHeight="1" x14ac:dyDescent="0.3">
      <c r="B3" s="11" t="s">
        <v>50</v>
      </c>
      <c r="C3" s="11" t="s">
        <v>0</v>
      </c>
      <c r="D3" s="11" t="s">
        <v>1</v>
      </c>
      <c r="E3" s="11" t="s">
        <v>2</v>
      </c>
      <c r="F3" s="11" t="s">
        <v>4</v>
      </c>
      <c r="G3" s="11" t="s">
        <v>49</v>
      </c>
      <c r="H3" s="34"/>
    </row>
    <row r="4" spans="2:8" ht="21" customHeight="1" x14ac:dyDescent="0.4">
      <c r="B4" s="9">
        <f>COUNTA($C$4:cadProdutos9[[#This Row],[CODIGO DE BARRAS]])</f>
        <v>1</v>
      </c>
      <c r="C4" s="9" t="s">
        <v>16</v>
      </c>
      <c r="D4" s="9">
        <v>296</v>
      </c>
      <c r="E4" s="13" t="s">
        <v>92</v>
      </c>
      <c r="F4" s="18">
        <v>3</v>
      </c>
      <c r="G4" s="10"/>
      <c r="H4" s="34"/>
    </row>
    <row r="5" spans="2:8" ht="21" customHeight="1" x14ac:dyDescent="0.4">
      <c r="B5" s="9">
        <f>COUNTA($C$4:cadProdutos9[[#This Row],[CODIGO DE BARRAS]])</f>
        <v>2</v>
      </c>
      <c r="C5" s="9" t="s">
        <v>16</v>
      </c>
      <c r="D5" s="9">
        <v>275</v>
      </c>
      <c r="E5" s="13" t="s">
        <v>52</v>
      </c>
      <c r="F5" s="18">
        <v>2</v>
      </c>
      <c r="G5" s="10" t="s">
        <v>90</v>
      </c>
      <c r="H5" s="34"/>
    </row>
    <row r="6" spans="2:8" ht="21" customHeight="1" x14ac:dyDescent="0.4">
      <c r="B6" s="9">
        <f>COUNTA($C$4:cadProdutos9[[#This Row],[CODIGO DE BARRAS]])</f>
        <v>3</v>
      </c>
      <c r="C6" s="9" t="s">
        <v>16</v>
      </c>
      <c r="D6" s="9">
        <v>282</v>
      </c>
      <c r="E6" s="13" t="s">
        <v>21</v>
      </c>
      <c r="F6" s="18">
        <v>2</v>
      </c>
      <c r="G6" s="10"/>
      <c r="H6" s="34"/>
    </row>
    <row r="7" spans="2:8" ht="21" customHeight="1" x14ac:dyDescent="0.4">
      <c r="B7" s="9">
        <f>COUNTA($C$4:cadProdutos9[[#This Row],[CODIGO DE BARRAS]])</f>
        <v>4</v>
      </c>
      <c r="C7" s="9" t="s">
        <v>16</v>
      </c>
      <c r="D7" s="9">
        <v>286</v>
      </c>
      <c r="E7" s="13" t="s">
        <v>19</v>
      </c>
      <c r="F7" s="18">
        <v>13</v>
      </c>
      <c r="G7" s="10" t="s">
        <v>83</v>
      </c>
      <c r="H7" s="34"/>
    </row>
    <row r="8" spans="2:8" ht="21" customHeight="1" x14ac:dyDescent="0.4">
      <c r="B8" s="9">
        <f>COUNTA($C$4:cadProdutos9[[#This Row],[CODIGO DE BARRAS]])</f>
        <v>5</v>
      </c>
      <c r="C8" s="9" t="s">
        <v>16</v>
      </c>
      <c r="D8" s="9">
        <v>288</v>
      </c>
      <c r="E8" s="13" t="s">
        <v>38</v>
      </c>
      <c r="F8" s="18">
        <v>10</v>
      </c>
      <c r="G8" s="10" t="s">
        <v>84</v>
      </c>
      <c r="H8" s="34"/>
    </row>
    <row r="9" spans="2:8" ht="21" customHeight="1" x14ac:dyDescent="0.4">
      <c r="B9" s="9">
        <f>COUNTA($C$4:cadProdutos9[[#This Row],[CODIGO DE BARRAS]])</f>
        <v>6</v>
      </c>
      <c r="C9" s="9">
        <v>7898211660105</v>
      </c>
      <c r="D9" s="9">
        <v>307</v>
      </c>
      <c r="E9" s="13" t="s">
        <v>6</v>
      </c>
      <c r="F9" s="18">
        <v>19</v>
      </c>
      <c r="G9" s="10"/>
      <c r="H9" s="34"/>
    </row>
    <row r="10" spans="2:8" ht="21" customHeight="1" x14ac:dyDescent="0.4">
      <c r="B10" s="9">
        <f>COUNTA($C$4:cadProdutos9[[#This Row],[CODIGO DE BARRAS]])</f>
        <v>7</v>
      </c>
      <c r="C10" s="9">
        <v>7898211660068</v>
      </c>
      <c r="D10" s="9">
        <v>306</v>
      </c>
      <c r="E10" s="13" t="s">
        <v>5</v>
      </c>
      <c r="F10" s="18">
        <v>6</v>
      </c>
      <c r="G10" s="10" t="s">
        <v>63</v>
      </c>
      <c r="H10" s="34"/>
    </row>
    <row r="11" spans="2:8" ht="21" customHeight="1" x14ac:dyDescent="0.4">
      <c r="B11" s="9">
        <f>COUNTA($C$4:cadProdutos9[[#This Row],[CODIGO DE BARRAS]])</f>
        <v>8</v>
      </c>
      <c r="C11" s="9">
        <v>7898211660723</v>
      </c>
      <c r="D11" s="9">
        <v>326</v>
      </c>
      <c r="E11" s="13" t="s">
        <v>14</v>
      </c>
      <c r="F11" s="18">
        <v>15</v>
      </c>
      <c r="G11" s="10"/>
      <c r="H11" s="34"/>
    </row>
    <row r="12" spans="2:8" ht="21" customHeight="1" x14ac:dyDescent="0.4">
      <c r="B12" s="9">
        <f>COUNTA($C$4:cadProdutos9[[#This Row],[CODIGO DE BARRAS]])</f>
        <v>9</v>
      </c>
      <c r="C12" s="9">
        <v>7898211660747</v>
      </c>
      <c r="D12" s="9">
        <v>328</v>
      </c>
      <c r="E12" s="19" t="s">
        <v>7</v>
      </c>
      <c r="F12" s="18">
        <v>8</v>
      </c>
      <c r="G12" s="10"/>
      <c r="H12" s="34"/>
    </row>
    <row r="13" spans="2:8" ht="21" customHeight="1" x14ac:dyDescent="0.4">
      <c r="B13" s="9">
        <f>COUNTA($C$4:cadProdutos9[[#This Row],[CODIGO DE BARRAS]])</f>
        <v>10</v>
      </c>
      <c r="C13" s="9" t="s">
        <v>16</v>
      </c>
      <c r="D13" s="9">
        <v>352</v>
      </c>
      <c r="E13" s="13" t="s">
        <v>51</v>
      </c>
      <c r="F13" s="18">
        <v>3</v>
      </c>
      <c r="G13" s="10"/>
      <c r="H13" s="34"/>
    </row>
    <row r="14" spans="2:8" ht="21" customHeight="1" x14ac:dyDescent="0.4">
      <c r="B14" s="9">
        <f>COUNTA($C$4:cadProdutos9[[#This Row],[CODIGO DE BARRAS]])</f>
        <v>11</v>
      </c>
      <c r="C14" s="9" t="s">
        <v>16</v>
      </c>
      <c r="D14" s="9">
        <v>340</v>
      </c>
      <c r="E14" s="13" t="s">
        <v>85</v>
      </c>
      <c r="F14" s="18">
        <v>1</v>
      </c>
      <c r="G14" s="10"/>
      <c r="H14" s="34"/>
    </row>
    <row r="15" spans="2:8" ht="21" customHeight="1" x14ac:dyDescent="0.4">
      <c r="B15" s="9">
        <f>COUNTA($C$4:cadProdutos9[[#This Row],[CODIGO DE BARRAS]])</f>
        <v>12</v>
      </c>
      <c r="C15" s="9">
        <v>7898211660785</v>
      </c>
      <c r="D15" s="9">
        <v>332</v>
      </c>
      <c r="E15" s="13" t="s">
        <v>8</v>
      </c>
      <c r="F15" s="18">
        <v>0</v>
      </c>
      <c r="G15" s="10"/>
      <c r="H15" s="34"/>
    </row>
    <row r="16" spans="2:8" ht="21" customHeight="1" x14ac:dyDescent="0.4">
      <c r="B16" s="9">
        <f>COUNTA($C$4:cadProdutos9[[#This Row],[CODIGO DE BARRAS]])</f>
        <v>13</v>
      </c>
      <c r="C16" s="9">
        <v>7898211660877</v>
      </c>
      <c r="D16" s="9">
        <v>333</v>
      </c>
      <c r="E16" s="13" t="s">
        <v>10</v>
      </c>
      <c r="F16" s="18">
        <v>8</v>
      </c>
      <c r="G16" s="10"/>
      <c r="H16" s="34"/>
    </row>
    <row r="17" spans="2:14" ht="21" customHeight="1" x14ac:dyDescent="0.4">
      <c r="B17" s="9">
        <f>COUNTA($C$4:cadProdutos9[[#This Row],[CODIGO DE BARRAS]])</f>
        <v>14</v>
      </c>
      <c r="C17" s="9">
        <v>7898211660051</v>
      </c>
      <c r="D17" s="9">
        <v>317</v>
      </c>
      <c r="E17" s="13" t="s">
        <v>9</v>
      </c>
      <c r="F17" s="18">
        <v>14</v>
      </c>
      <c r="G17" s="10"/>
      <c r="H17" s="34"/>
    </row>
    <row r="18" spans="2:14" ht="21" customHeight="1" x14ac:dyDescent="0.4">
      <c r="B18" s="9">
        <f>COUNTA($C$4:cadProdutos9[[#This Row],[CODIGO DE BARRAS]])</f>
        <v>15</v>
      </c>
      <c r="C18" s="9" t="s">
        <v>16</v>
      </c>
      <c r="D18" s="9">
        <v>321</v>
      </c>
      <c r="E18" s="13" t="s">
        <v>20</v>
      </c>
      <c r="F18" s="18">
        <v>8</v>
      </c>
      <c r="G18" s="10"/>
      <c r="H18" s="34"/>
    </row>
    <row r="19" spans="2:14" ht="21" customHeight="1" x14ac:dyDescent="0.4">
      <c r="B19" s="9">
        <f>COUNTA($C$4:cadProdutos9[[#This Row],[CODIGO DE BARRAS]])</f>
        <v>16</v>
      </c>
      <c r="C19" s="9" t="s">
        <v>16</v>
      </c>
      <c r="D19" s="9">
        <v>159</v>
      </c>
      <c r="E19" s="13" t="s">
        <v>43</v>
      </c>
      <c r="F19" s="18">
        <v>16</v>
      </c>
      <c r="G19" s="10"/>
      <c r="H19" s="34"/>
      <c r="N19" s="1"/>
    </row>
    <row r="20" spans="2:14" ht="21" customHeight="1" x14ac:dyDescent="0.4">
      <c r="B20" s="9">
        <f>COUNTA($C$4:cadProdutos9[[#This Row],[CODIGO DE BARRAS]])</f>
        <v>17</v>
      </c>
      <c r="C20" s="9" t="s">
        <v>16</v>
      </c>
      <c r="D20" s="9">
        <v>254</v>
      </c>
      <c r="E20" s="13" t="s">
        <v>18</v>
      </c>
      <c r="F20" s="18">
        <v>2</v>
      </c>
      <c r="G20" s="10"/>
      <c r="H20" s="34"/>
    </row>
    <row r="21" spans="2:14" ht="21" customHeight="1" x14ac:dyDescent="0.4">
      <c r="B21" s="9">
        <f>COUNTA($C$4:cadProdutos9[[#This Row],[CODIGO DE BARRAS]])</f>
        <v>18</v>
      </c>
      <c r="C21" s="9" t="s">
        <v>16</v>
      </c>
      <c r="D21" s="9">
        <v>252</v>
      </c>
      <c r="E21" s="13" t="s">
        <v>44</v>
      </c>
      <c r="F21" s="18">
        <v>5</v>
      </c>
      <c r="G21" s="10"/>
      <c r="H21" s="34"/>
    </row>
    <row r="22" spans="2:14" ht="21" customHeight="1" x14ac:dyDescent="0.4">
      <c r="B22" s="9">
        <f>COUNTA($C$4:cadProdutos9[[#This Row],[CODIGO DE BARRAS]])</f>
        <v>19</v>
      </c>
      <c r="C22" s="9" t="s">
        <v>16</v>
      </c>
      <c r="D22" s="9">
        <v>29107</v>
      </c>
      <c r="E22" s="13" t="s">
        <v>17</v>
      </c>
      <c r="F22" s="18">
        <v>40</v>
      </c>
      <c r="G22" s="10"/>
      <c r="H22" s="34"/>
    </row>
    <row r="23" spans="2:14" ht="21" customHeight="1" x14ac:dyDescent="0.4">
      <c r="B23" s="9">
        <f>COUNTA($C$4:cadProdutos9[[#This Row],[CODIGO DE BARRAS]])</f>
        <v>20</v>
      </c>
      <c r="C23" s="9" t="s">
        <v>16</v>
      </c>
      <c r="D23" s="9">
        <v>29106</v>
      </c>
      <c r="E23" s="13" t="s">
        <v>35</v>
      </c>
      <c r="F23" s="18">
        <v>4</v>
      </c>
      <c r="G23" s="10"/>
      <c r="H23" s="34"/>
    </row>
    <row r="24" spans="2:14" ht="21" customHeight="1" x14ac:dyDescent="0.4">
      <c r="B24" s="9">
        <f>COUNTA($C$4:cadProdutos9[[#This Row],[CODIGO DE BARRAS]])</f>
        <v>21</v>
      </c>
      <c r="C24" s="9" t="s">
        <v>16</v>
      </c>
      <c r="D24" s="9">
        <v>29901</v>
      </c>
      <c r="E24" s="13" t="s">
        <v>36</v>
      </c>
      <c r="F24" s="18">
        <v>3</v>
      </c>
      <c r="G24" s="10"/>
      <c r="H24" s="34"/>
    </row>
    <row r="25" spans="2:14" ht="21" customHeight="1" x14ac:dyDescent="0.4">
      <c r="B25" s="9">
        <f>COUNTA($C$4:cadProdutos9[[#This Row],[CODIGO DE BARRAS]])</f>
        <v>22</v>
      </c>
      <c r="C25" s="9" t="s">
        <v>16</v>
      </c>
      <c r="D25" s="9">
        <v>29902</v>
      </c>
      <c r="E25" s="13" t="s">
        <v>37</v>
      </c>
      <c r="F25" s="18">
        <v>3</v>
      </c>
      <c r="G25" s="10"/>
      <c r="H25" s="34"/>
    </row>
    <row r="26" spans="2:14" ht="21" customHeight="1" x14ac:dyDescent="0.4">
      <c r="B26" s="9">
        <f>COUNTA($C$4:cadProdutos9[[#This Row],[CODIGO DE BARRAS]])</f>
        <v>23</v>
      </c>
      <c r="C26" s="9">
        <v>7898211660570</v>
      </c>
      <c r="D26" s="9">
        <v>29713</v>
      </c>
      <c r="E26" s="13" t="s">
        <v>39</v>
      </c>
      <c r="F26" s="18">
        <v>0</v>
      </c>
      <c r="G26" s="10"/>
      <c r="H26" s="34"/>
    </row>
    <row r="27" spans="2:14" ht="21" customHeight="1" x14ac:dyDescent="0.4">
      <c r="B27" s="9">
        <f>COUNTA($C$4:cadProdutos9[[#This Row],[CODIGO DE BARRAS]])</f>
        <v>24</v>
      </c>
      <c r="C27" s="9">
        <v>7898211660563</v>
      </c>
      <c r="D27" s="9">
        <v>29712</v>
      </c>
      <c r="E27" s="13" t="s">
        <v>42</v>
      </c>
      <c r="F27" s="18">
        <v>0</v>
      </c>
      <c r="G27" s="10"/>
      <c r="H27" s="34"/>
    </row>
    <row r="28" spans="2:14" ht="21" customHeight="1" x14ac:dyDescent="0.4">
      <c r="B28" s="9">
        <f>COUNTA($C$4:cadProdutos9[[#This Row],[CODIGO DE BARRAS]])</f>
        <v>25</v>
      </c>
      <c r="C28" s="9">
        <v>7898211660716</v>
      </c>
      <c r="D28" s="9">
        <v>29741</v>
      </c>
      <c r="E28" s="13" t="s">
        <v>41</v>
      </c>
      <c r="F28" s="18">
        <v>4</v>
      </c>
      <c r="G28" s="10"/>
      <c r="H28" s="34"/>
    </row>
    <row r="29" spans="2:14" ht="21" customHeight="1" x14ac:dyDescent="0.4">
      <c r="B29" s="9">
        <f>COUNTA($C$4:cadProdutos9[[#This Row],[CODIGO DE BARRAS]])</f>
        <v>26</v>
      </c>
      <c r="C29" s="9">
        <v>7898211660518</v>
      </c>
      <c r="D29" s="9">
        <v>29720</v>
      </c>
      <c r="E29" s="13" t="s">
        <v>40</v>
      </c>
      <c r="F29" s="18">
        <v>35</v>
      </c>
      <c r="G29" s="10"/>
      <c r="H29" s="34"/>
    </row>
    <row r="30" spans="2:14" ht="21" customHeight="1" x14ac:dyDescent="0.4">
      <c r="B30" s="9">
        <f>COUNTA($C$4:cadProdutos9[[#This Row],[CODIGO DE BARRAS]])</f>
        <v>27</v>
      </c>
      <c r="C30" s="9">
        <v>7898211660501</v>
      </c>
      <c r="D30" s="9">
        <v>29715</v>
      </c>
      <c r="E30" s="13" t="s">
        <v>13</v>
      </c>
      <c r="F30" s="18">
        <v>20</v>
      </c>
      <c r="G30" s="10"/>
      <c r="H30" s="34"/>
    </row>
    <row r="31" spans="2:14" ht="21" customHeight="1" x14ac:dyDescent="0.4">
      <c r="B31" s="9">
        <f>COUNTA($C$4:cadProdutos9[[#This Row],[CODIGO DE BARRAS]])</f>
        <v>28</v>
      </c>
      <c r="C31" s="9">
        <v>7898211660679</v>
      </c>
      <c r="D31" s="9">
        <v>29714</v>
      </c>
      <c r="E31" s="13" t="s">
        <v>23</v>
      </c>
      <c r="F31" s="18">
        <v>6</v>
      </c>
      <c r="G31" s="10"/>
      <c r="H31" s="34"/>
    </row>
    <row r="32" spans="2:14" ht="21" customHeight="1" x14ac:dyDescent="0.4">
      <c r="B32" s="9">
        <f>COUNTA($C$4:cadProdutos9[[#This Row],[CODIGO DE BARRAS]])</f>
        <v>29</v>
      </c>
      <c r="C32" s="9">
        <v>7898211660495</v>
      </c>
      <c r="D32" s="9">
        <v>29904</v>
      </c>
      <c r="E32" s="13" t="s">
        <v>34</v>
      </c>
      <c r="F32" s="18">
        <v>26</v>
      </c>
      <c r="G32" s="10" t="s">
        <v>64</v>
      </c>
      <c r="H32" s="34"/>
    </row>
    <row r="33" spans="2:8" ht="21" customHeight="1" x14ac:dyDescent="0.4">
      <c r="B33" s="9">
        <f>COUNTA($C$4:cadProdutos9[[#This Row],[CODIGO DE BARRAS]])</f>
        <v>30</v>
      </c>
      <c r="C33" s="9" t="s">
        <v>16</v>
      </c>
      <c r="D33" s="9">
        <v>29204</v>
      </c>
      <c r="E33" s="13" t="s">
        <v>65</v>
      </c>
      <c r="F33" s="18">
        <v>2</v>
      </c>
      <c r="G33" s="10"/>
      <c r="H33" s="34"/>
    </row>
    <row r="34" spans="2:8" ht="21" customHeight="1" x14ac:dyDescent="0.4">
      <c r="B34" s="9">
        <f>COUNTA($C$4:cadProdutos9[[#This Row],[CODIGO DE BARRAS]])</f>
        <v>31</v>
      </c>
      <c r="C34" s="9" t="s">
        <v>16</v>
      </c>
      <c r="D34" s="9">
        <v>29437</v>
      </c>
      <c r="E34" s="13" t="s">
        <v>87</v>
      </c>
      <c r="F34" s="18">
        <v>15</v>
      </c>
      <c r="G34" s="10"/>
      <c r="H34" s="34"/>
    </row>
    <row r="35" spans="2:8" ht="21" customHeight="1" x14ac:dyDescent="0.4">
      <c r="B35" s="9">
        <f>COUNTA($C$4:cadProdutos9[[#This Row],[CODIGO DE BARRAS]])</f>
        <v>32</v>
      </c>
      <c r="C35" s="9" t="s">
        <v>16</v>
      </c>
      <c r="D35" s="9">
        <v>29634</v>
      </c>
      <c r="E35" s="13" t="s">
        <v>88</v>
      </c>
      <c r="F35" s="18">
        <v>15</v>
      </c>
      <c r="G35" s="10"/>
      <c r="H35" s="34"/>
    </row>
    <row r="36" spans="2:8" ht="21" customHeight="1" x14ac:dyDescent="0.4">
      <c r="B36" s="9">
        <f>COUNTA($C$4:cadProdutos9[[#This Row],[CODIGO DE BARRAS]])</f>
        <v>33</v>
      </c>
      <c r="C36" s="9" t="s">
        <v>16</v>
      </c>
      <c r="D36" s="9">
        <v>29606</v>
      </c>
      <c r="E36" s="13" t="s">
        <v>89</v>
      </c>
      <c r="F36" s="18">
        <v>1</v>
      </c>
      <c r="G36" s="10"/>
      <c r="H36" s="34"/>
    </row>
    <row r="37" spans="2:8" ht="21" customHeight="1" x14ac:dyDescent="0.4">
      <c r="B37" s="9">
        <f>COUNTA($C$4:cadProdutos9[[#This Row],[CODIGO DE BARRAS]])</f>
        <v>34</v>
      </c>
      <c r="C37" s="9" t="s">
        <v>16</v>
      </c>
      <c r="D37" s="9">
        <v>29436</v>
      </c>
      <c r="E37" s="13" t="s">
        <v>72</v>
      </c>
      <c r="F37" s="18">
        <v>19</v>
      </c>
      <c r="G37" s="10"/>
      <c r="H37" s="34"/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B1:K68"/>
  <sheetViews>
    <sheetView showGridLines="0" showRowColHeaders="0" topLeftCell="B1" zoomScaleNormal="108" workbookViewId="0">
      <pane ySplit="3" topLeftCell="A4" activePane="bottomLeft" state="frozen"/>
      <selection pane="bottomLeft"/>
    </sheetView>
  </sheetViews>
  <sheetFormatPr defaultColWidth="0" defaultRowHeight="14.4" zeroHeight="1" x14ac:dyDescent="0.3"/>
  <cols>
    <col min="1" max="1" width="8.88671875" hidden="1" customWidth="1"/>
    <col min="2" max="3" width="17.88671875" customWidth="1"/>
    <col min="4" max="7" width="22.21875" customWidth="1"/>
    <col min="8" max="8" width="44.44140625" customWidth="1"/>
    <col min="9" max="9" width="20" customWidth="1"/>
    <col min="10" max="10" width="5" hidden="1" customWidth="1"/>
    <col min="11" max="11" width="15.77734375" customWidth="1"/>
    <col min="12" max="16384" width="8.88671875" hidden="1"/>
  </cols>
  <sheetData>
    <row r="1" spans="2:11" ht="51" customHeight="1" x14ac:dyDescent="0.3">
      <c r="B1" s="14" t="e">
        <f>CONCATENATE("Olá, ",LEFT(actv[],1),LOWER(RIGHT(actv[],LEN(actv[])-1)))</f>
        <v>#VALUE!</v>
      </c>
      <c r="C1" s="15"/>
      <c r="D1" s="15"/>
      <c r="E1" s="15"/>
      <c r="F1" s="15"/>
      <c r="G1" s="15"/>
      <c r="H1" s="15"/>
      <c r="I1" s="15"/>
    </row>
    <row r="2" spans="2:11" ht="48" customHeight="1" x14ac:dyDescent="0.3">
      <c r="B2" s="45"/>
      <c r="C2" s="46"/>
      <c r="D2" s="46"/>
      <c r="E2" s="46"/>
      <c r="F2" s="46"/>
      <c r="G2" s="46"/>
      <c r="H2" s="46"/>
      <c r="I2" s="46"/>
      <c r="J2" s="46"/>
      <c r="K2" s="47"/>
    </row>
    <row r="3" spans="2:11" ht="21" customHeight="1" x14ac:dyDescent="0.3">
      <c r="B3" s="11" t="s">
        <v>11</v>
      </c>
      <c r="C3" s="11" t="s">
        <v>12</v>
      </c>
      <c r="D3" s="11" t="s">
        <v>24</v>
      </c>
      <c r="E3" s="11" t="s">
        <v>15</v>
      </c>
      <c r="F3" s="11" t="s">
        <v>0</v>
      </c>
      <c r="G3" s="11" t="s">
        <v>1</v>
      </c>
      <c r="H3" s="11" t="s">
        <v>2</v>
      </c>
      <c r="I3" s="11" t="s">
        <v>3</v>
      </c>
      <c r="J3" s="29" t="s">
        <v>77</v>
      </c>
      <c r="K3" s="29" t="s">
        <v>76</v>
      </c>
    </row>
    <row r="4" spans="2:11" ht="21" customHeight="1" x14ac:dyDescent="0.4">
      <c r="B4" s="7">
        <v>44784</v>
      </c>
      <c r="C4" s="8">
        <v>0.51276620370370374</v>
      </c>
      <c r="D4" s="9" t="s">
        <v>25</v>
      </c>
      <c r="E4" s="9" t="s">
        <v>22</v>
      </c>
      <c r="F4" s="9" t="s">
        <v>16</v>
      </c>
      <c r="G4" s="9">
        <v>29107</v>
      </c>
      <c r="H4" s="10" t="s">
        <v>17</v>
      </c>
      <c r="I4" s="12">
        <v>1</v>
      </c>
      <c r="J4" s="9"/>
      <c r="K4" s="9"/>
    </row>
    <row r="5" spans="2:11" ht="21" customHeight="1" x14ac:dyDescent="0.4">
      <c r="B5" s="7">
        <v>44784</v>
      </c>
      <c r="C5" s="8">
        <v>0.42393518518518519</v>
      </c>
      <c r="D5" s="9" t="s">
        <v>25</v>
      </c>
      <c r="E5" s="9">
        <v>352072200338</v>
      </c>
      <c r="F5" s="9" t="s">
        <v>16</v>
      </c>
      <c r="G5" s="9">
        <v>352</v>
      </c>
      <c r="H5" s="10" t="s">
        <v>51</v>
      </c>
      <c r="I5" s="12">
        <v>1</v>
      </c>
      <c r="J5" s="28"/>
      <c r="K5" s="28"/>
    </row>
    <row r="6" spans="2:11" ht="21" customHeight="1" x14ac:dyDescent="0.4">
      <c r="B6" s="7">
        <v>44784</v>
      </c>
      <c r="C6" s="8">
        <v>0.5186574074074074</v>
      </c>
      <c r="D6" s="9" t="s">
        <v>25</v>
      </c>
      <c r="E6" s="9" t="s">
        <v>22</v>
      </c>
      <c r="F6" s="9" t="s">
        <v>16</v>
      </c>
      <c r="G6" s="9">
        <v>29107</v>
      </c>
      <c r="H6" s="10" t="s">
        <v>17</v>
      </c>
      <c r="I6" s="12">
        <v>1</v>
      </c>
      <c r="J6" s="28"/>
      <c r="K6" s="28"/>
    </row>
    <row r="7" spans="2:11" ht="21" customHeight="1" x14ac:dyDescent="0.4">
      <c r="B7" s="7">
        <v>44784</v>
      </c>
      <c r="C7" s="8">
        <v>0.64504629629629628</v>
      </c>
      <c r="D7" s="9" t="s">
        <v>53</v>
      </c>
      <c r="E7" s="9" t="s">
        <v>22</v>
      </c>
      <c r="F7" s="9" t="s">
        <v>16</v>
      </c>
      <c r="G7" s="9">
        <v>254</v>
      </c>
      <c r="H7" s="10" t="s">
        <v>18</v>
      </c>
      <c r="I7" s="12">
        <v>1</v>
      </c>
      <c r="J7" s="28"/>
      <c r="K7" s="28"/>
    </row>
    <row r="8" spans="2:11" ht="21" customHeight="1" x14ac:dyDescent="0.4">
      <c r="B8" s="7">
        <v>44785</v>
      </c>
      <c r="C8" s="8">
        <v>0.48608796296296292</v>
      </c>
      <c r="D8" s="9" t="s">
        <v>55</v>
      </c>
      <c r="E8" s="9" t="s">
        <v>22</v>
      </c>
      <c r="F8" s="9">
        <v>7898211660501</v>
      </c>
      <c r="G8" s="9">
        <v>29715</v>
      </c>
      <c r="H8" s="10" t="s">
        <v>13</v>
      </c>
      <c r="I8" s="12">
        <v>30</v>
      </c>
      <c r="J8" s="28"/>
      <c r="K8" s="28"/>
    </row>
    <row r="9" spans="2:11" ht="21" customHeight="1" x14ac:dyDescent="0.4">
      <c r="B9" s="7">
        <v>44785</v>
      </c>
      <c r="C9" s="8">
        <v>0.48945601851851855</v>
      </c>
      <c r="D9" s="9" t="s">
        <v>55</v>
      </c>
      <c r="E9" s="9" t="s">
        <v>22</v>
      </c>
      <c r="F9" s="9" t="s">
        <v>16</v>
      </c>
      <c r="G9" s="9">
        <v>29106</v>
      </c>
      <c r="H9" s="10" t="s">
        <v>35</v>
      </c>
      <c r="I9" s="12">
        <v>9</v>
      </c>
      <c r="J9" s="28"/>
      <c r="K9" s="28"/>
    </row>
    <row r="10" spans="2:11" ht="21" customHeight="1" x14ac:dyDescent="0.4">
      <c r="B10" s="7">
        <v>44786</v>
      </c>
      <c r="C10" s="8">
        <v>0.37526620370370373</v>
      </c>
      <c r="D10" s="9" t="s">
        <v>60</v>
      </c>
      <c r="E10" s="9">
        <v>288042200088</v>
      </c>
      <c r="F10" s="9" t="s">
        <v>16</v>
      </c>
      <c r="G10" s="9">
        <v>288</v>
      </c>
      <c r="H10" s="10" t="s">
        <v>38</v>
      </c>
      <c r="I10" s="12">
        <v>1</v>
      </c>
      <c r="J10" s="28"/>
      <c r="K10" s="28"/>
    </row>
    <row r="11" spans="2:11" ht="21" customHeight="1" x14ac:dyDescent="0.4">
      <c r="B11" s="7">
        <v>44798</v>
      </c>
      <c r="C11" s="8">
        <v>0.38318287037037035</v>
      </c>
      <c r="D11" s="9" t="s">
        <v>66</v>
      </c>
      <c r="E11" s="9" t="s">
        <v>22</v>
      </c>
      <c r="F11" s="9" t="s">
        <v>16</v>
      </c>
      <c r="G11" s="9">
        <v>29107</v>
      </c>
      <c r="H11" s="10" t="s">
        <v>17</v>
      </c>
      <c r="I11" s="12">
        <v>18</v>
      </c>
      <c r="J11" s="28"/>
      <c r="K11" s="28"/>
    </row>
    <row r="12" spans="2:11" ht="21" customHeight="1" x14ac:dyDescent="0.4">
      <c r="B12" s="7">
        <v>44798</v>
      </c>
      <c r="C12" s="8">
        <v>0.46246527777777779</v>
      </c>
      <c r="D12" s="9" t="s">
        <v>69</v>
      </c>
      <c r="E12" s="9" t="s">
        <v>22</v>
      </c>
      <c r="F12" s="9" t="s">
        <v>16</v>
      </c>
      <c r="G12" s="9">
        <v>29107</v>
      </c>
      <c r="H12" s="10" t="s">
        <v>17</v>
      </c>
      <c r="I12" s="12">
        <v>1</v>
      </c>
      <c r="J12" s="28"/>
      <c r="K12" s="28"/>
    </row>
    <row r="13" spans="2:11" ht="21" customHeight="1" x14ac:dyDescent="0.4">
      <c r="B13" s="7">
        <v>44798</v>
      </c>
      <c r="C13" s="8">
        <v>0.46480324074074075</v>
      </c>
      <c r="D13" s="9" t="s">
        <v>69</v>
      </c>
      <c r="E13" s="9" t="s">
        <v>22</v>
      </c>
      <c r="F13" s="9">
        <v>7898211660501</v>
      </c>
      <c r="G13" s="9">
        <v>29715</v>
      </c>
      <c r="H13" s="10" t="s">
        <v>13</v>
      </c>
      <c r="I13" s="12">
        <v>-1</v>
      </c>
      <c r="J13" s="28"/>
      <c r="K13" s="28"/>
    </row>
    <row r="14" spans="2:11" ht="21" customHeight="1" x14ac:dyDescent="0.4">
      <c r="B14" s="7">
        <v>44798</v>
      </c>
      <c r="C14" s="8">
        <v>0.47067129629629628</v>
      </c>
      <c r="D14" s="9" t="s">
        <v>69</v>
      </c>
      <c r="E14" s="9" t="s">
        <v>22</v>
      </c>
      <c r="F14" s="9">
        <v>7898211660495</v>
      </c>
      <c r="G14" s="9">
        <v>29904</v>
      </c>
      <c r="H14" s="10" t="s">
        <v>34</v>
      </c>
      <c r="I14" s="12">
        <v>-3</v>
      </c>
      <c r="J14" s="28"/>
      <c r="K14" s="28"/>
    </row>
    <row r="15" spans="2:11" ht="21" customHeight="1" x14ac:dyDescent="0.4">
      <c r="B15" s="7">
        <v>44798</v>
      </c>
      <c r="C15" s="8">
        <v>0.47067129629629628</v>
      </c>
      <c r="D15" s="9" t="s">
        <v>69</v>
      </c>
      <c r="E15" s="9" t="s">
        <v>22</v>
      </c>
      <c r="F15" s="9" t="s">
        <v>16</v>
      </c>
      <c r="G15" s="9">
        <v>29107</v>
      </c>
      <c r="H15" s="10" t="s">
        <v>17</v>
      </c>
      <c r="I15" s="12">
        <v>-1</v>
      </c>
      <c r="J15" s="28"/>
      <c r="K15" s="28"/>
    </row>
    <row r="16" spans="2:11" ht="21" customHeight="1" x14ac:dyDescent="0.4">
      <c r="B16" s="7">
        <v>44798</v>
      </c>
      <c r="C16" s="8">
        <v>0.47434027777777782</v>
      </c>
      <c r="D16" s="9" t="s">
        <v>69</v>
      </c>
      <c r="E16" s="9" t="s">
        <v>22</v>
      </c>
      <c r="F16" s="9" t="s">
        <v>16</v>
      </c>
      <c r="G16" s="9">
        <v>29436</v>
      </c>
      <c r="H16" s="10" t="s">
        <v>72</v>
      </c>
      <c r="I16" s="12">
        <v>-1</v>
      </c>
      <c r="J16" s="28"/>
      <c r="K16" s="28"/>
    </row>
    <row r="17" spans="2:11" ht="21" customHeight="1" x14ac:dyDescent="0.4">
      <c r="B17" s="7">
        <v>44798</v>
      </c>
      <c r="C17" s="8">
        <v>0.47552083333333334</v>
      </c>
      <c r="D17" s="9" t="s">
        <v>69</v>
      </c>
      <c r="E17" s="9" t="s">
        <v>22</v>
      </c>
      <c r="F17" s="9" t="s">
        <v>16</v>
      </c>
      <c r="G17" s="9">
        <v>29106</v>
      </c>
      <c r="H17" s="10" t="s">
        <v>35</v>
      </c>
      <c r="I17" s="12">
        <v>-1</v>
      </c>
      <c r="J17" s="28"/>
      <c r="K17" s="28"/>
    </row>
    <row r="18" spans="2:11" ht="21" customHeight="1" x14ac:dyDescent="0.4">
      <c r="B18" s="7">
        <v>44798</v>
      </c>
      <c r="C18" s="8">
        <v>0.57385416666666667</v>
      </c>
      <c r="D18" s="9" t="s">
        <v>69</v>
      </c>
      <c r="E18" s="9" t="s">
        <v>22</v>
      </c>
      <c r="F18" s="9" t="s">
        <v>16</v>
      </c>
      <c r="G18" s="9">
        <v>252</v>
      </c>
      <c r="H18" s="10" t="s">
        <v>44</v>
      </c>
      <c r="I18" s="12">
        <v>2</v>
      </c>
      <c r="J18" s="28"/>
      <c r="K18" s="28"/>
    </row>
    <row r="19" spans="2:11" ht="21" customHeight="1" x14ac:dyDescent="0.4">
      <c r="B19" s="7">
        <v>44798</v>
      </c>
      <c r="C19" s="8">
        <v>0.57572916666666674</v>
      </c>
      <c r="D19" s="9" t="s">
        <v>69</v>
      </c>
      <c r="E19" s="9" t="s">
        <v>22</v>
      </c>
      <c r="F19" s="9" t="s">
        <v>16</v>
      </c>
      <c r="G19" s="9">
        <v>29901</v>
      </c>
      <c r="H19" s="10" t="s">
        <v>36</v>
      </c>
      <c r="I19" s="12">
        <v>10</v>
      </c>
      <c r="J19" s="28"/>
      <c r="K19" s="28"/>
    </row>
    <row r="20" spans="2:11" ht="21" customHeight="1" x14ac:dyDescent="0.4">
      <c r="B20" s="7">
        <v>44798</v>
      </c>
      <c r="C20" s="8">
        <v>0.57603009259259264</v>
      </c>
      <c r="D20" s="9" t="s">
        <v>69</v>
      </c>
      <c r="E20" s="9" t="s">
        <v>22</v>
      </c>
      <c r="F20" s="9" t="s">
        <v>16</v>
      </c>
      <c r="G20" s="9">
        <v>29902</v>
      </c>
      <c r="H20" s="10" t="s">
        <v>37</v>
      </c>
      <c r="I20" s="12">
        <v>10</v>
      </c>
      <c r="J20" s="28"/>
      <c r="K20" s="28"/>
    </row>
    <row r="21" spans="2:11" ht="21" customHeight="1" x14ac:dyDescent="0.4">
      <c r="B21" s="7">
        <v>44798</v>
      </c>
      <c r="C21" s="8">
        <v>0.57629629629629631</v>
      </c>
      <c r="D21" s="9" t="s">
        <v>69</v>
      </c>
      <c r="E21" s="9" t="s">
        <v>22</v>
      </c>
      <c r="F21" s="9">
        <v>7898211660679</v>
      </c>
      <c r="G21" s="9">
        <v>29714</v>
      </c>
      <c r="H21" s="10" t="s">
        <v>23</v>
      </c>
      <c r="I21" s="12">
        <v>10</v>
      </c>
      <c r="J21" s="28"/>
      <c r="K21" s="28"/>
    </row>
    <row r="22" spans="2:11" ht="21" customHeight="1" x14ac:dyDescent="0.4">
      <c r="B22" s="7">
        <v>44798</v>
      </c>
      <c r="C22" s="8">
        <v>0.57668981481481485</v>
      </c>
      <c r="D22" s="9" t="s">
        <v>69</v>
      </c>
      <c r="E22" s="9" t="s">
        <v>22</v>
      </c>
      <c r="F22" s="9" t="s">
        <v>16</v>
      </c>
      <c r="G22" s="9">
        <v>29107</v>
      </c>
      <c r="H22" s="10" t="s">
        <v>17</v>
      </c>
      <c r="I22" s="12">
        <v>9</v>
      </c>
      <c r="J22" s="28"/>
      <c r="K22" s="28"/>
    </row>
    <row r="23" spans="2:11" ht="21" customHeight="1" x14ac:dyDescent="0.4">
      <c r="B23" s="7">
        <v>44798</v>
      </c>
      <c r="C23" s="8">
        <v>0.5784259259259259</v>
      </c>
      <c r="D23" s="9" t="s">
        <v>69</v>
      </c>
      <c r="E23" s="9" t="s">
        <v>22</v>
      </c>
      <c r="F23" s="9" t="s">
        <v>16</v>
      </c>
      <c r="G23" s="9">
        <v>29107</v>
      </c>
      <c r="H23" s="10" t="s">
        <v>17</v>
      </c>
      <c r="I23" s="12">
        <v>9</v>
      </c>
      <c r="J23" s="28"/>
      <c r="K23" s="28"/>
    </row>
    <row r="24" spans="2:11" ht="21" customHeight="1" x14ac:dyDescent="0.4">
      <c r="B24" s="7">
        <v>44798</v>
      </c>
      <c r="C24" s="8">
        <v>0.58140046296296299</v>
      </c>
      <c r="D24" s="9" t="s">
        <v>69</v>
      </c>
      <c r="E24" s="9" t="s">
        <v>22</v>
      </c>
      <c r="F24" s="9" t="s">
        <v>16</v>
      </c>
      <c r="G24" s="9">
        <v>29107</v>
      </c>
      <c r="H24" s="10" t="s">
        <v>17</v>
      </c>
      <c r="I24" s="12">
        <v>-8</v>
      </c>
      <c r="J24" s="28"/>
      <c r="K24" s="28"/>
    </row>
    <row r="25" spans="2:11" ht="21" customHeight="1" x14ac:dyDescent="0.4">
      <c r="B25" s="7">
        <v>44798</v>
      </c>
      <c r="C25" s="8">
        <v>0.58196759259259256</v>
      </c>
      <c r="D25" s="9" t="s">
        <v>69</v>
      </c>
      <c r="E25" s="9" t="s">
        <v>22</v>
      </c>
      <c r="F25" s="9">
        <v>7898211660679</v>
      </c>
      <c r="G25" s="9">
        <v>29714</v>
      </c>
      <c r="H25" s="10" t="s">
        <v>23</v>
      </c>
      <c r="I25" s="12">
        <v>-5</v>
      </c>
      <c r="J25" s="28"/>
      <c r="K25" s="28"/>
    </row>
    <row r="26" spans="2:11" ht="21" customHeight="1" x14ac:dyDescent="0.4">
      <c r="B26" s="7">
        <v>44799</v>
      </c>
      <c r="C26" s="8">
        <v>0.4366666666666667</v>
      </c>
      <c r="D26" s="9" t="s">
        <v>69</v>
      </c>
      <c r="E26" s="9" t="s">
        <v>22</v>
      </c>
      <c r="F26" s="9" t="s">
        <v>16</v>
      </c>
      <c r="G26" s="9">
        <v>29107</v>
      </c>
      <c r="H26" s="10" t="s">
        <v>17</v>
      </c>
      <c r="I26" s="12">
        <v>-1</v>
      </c>
      <c r="J26" s="28"/>
      <c r="K26" s="28"/>
    </row>
    <row r="27" spans="2:11" ht="21" customHeight="1" x14ac:dyDescent="0.4">
      <c r="B27" s="7">
        <v>44799</v>
      </c>
      <c r="C27" s="8">
        <v>0.43844907407407407</v>
      </c>
      <c r="D27" s="9" t="s">
        <v>69</v>
      </c>
      <c r="E27" s="9" t="s">
        <v>22</v>
      </c>
      <c r="F27" s="9" t="s">
        <v>16</v>
      </c>
      <c r="G27" s="9">
        <v>321</v>
      </c>
      <c r="H27" s="10" t="s">
        <v>20</v>
      </c>
      <c r="I27" s="12">
        <v>-1</v>
      </c>
      <c r="J27" s="28"/>
      <c r="K27" s="28"/>
    </row>
    <row r="28" spans="2:11" ht="21" customHeight="1" x14ac:dyDescent="0.4">
      <c r="B28" s="7">
        <v>44799</v>
      </c>
      <c r="C28" s="8">
        <v>0.43885416666666671</v>
      </c>
      <c r="D28" s="9" t="s">
        <v>69</v>
      </c>
      <c r="E28" s="9" t="s">
        <v>22</v>
      </c>
      <c r="F28" s="9" t="s">
        <v>16</v>
      </c>
      <c r="G28" s="9">
        <v>29107</v>
      </c>
      <c r="H28" s="10" t="s">
        <v>17</v>
      </c>
      <c r="I28" s="12">
        <v>-1</v>
      </c>
      <c r="J28" s="28"/>
      <c r="K28" s="28"/>
    </row>
    <row r="29" spans="2:11" ht="21" customHeight="1" x14ac:dyDescent="0.4">
      <c r="B29" s="7">
        <v>44799</v>
      </c>
      <c r="C29" s="8">
        <v>0.43906249999999997</v>
      </c>
      <c r="D29" s="9" t="s">
        <v>69</v>
      </c>
      <c r="E29" s="9" t="s">
        <v>22</v>
      </c>
      <c r="F29" s="9" t="s">
        <v>16</v>
      </c>
      <c r="G29" s="9">
        <v>159</v>
      </c>
      <c r="H29" s="10" t="s">
        <v>43</v>
      </c>
      <c r="I29" s="12">
        <v>-1</v>
      </c>
      <c r="J29" s="28"/>
      <c r="K29" s="28"/>
    </row>
    <row r="30" spans="2:11" ht="21" customHeight="1" x14ac:dyDescent="0.4">
      <c r="B30" s="7">
        <v>44799</v>
      </c>
      <c r="C30" s="8">
        <v>0.44163194444444448</v>
      </c>
      <c r="D30" s="9" t="s">
        <v>69</v>
      </c>
      <c r="E30" s="9" t="s">
        <v>22</v>
      </c>
      <c r="F30" s="9">
        <v>7898211660679</v>
      </c>
      <c r="G30" s="9">
        <v>29714</v>
      </c>
      <c r="H30" s="10" t="s">
        <v>23</v>
      </c>
      <c r="I30" s="12">
        <v>-1</v>
      </c>
      <c r="J30" s="28"/>
      <c r="K30" s="28"/>
    </row>
    <row r="31" spans="2:11" ht="21" customHeight="1" x14ac:dyDescent="0.4">
      <c r="B31" s="7">
        <v>44799</v>
      </c>
      <c r="C31" s="8">
        <v>0.442349537037037</v>
      </c>
      <c r="D31" s="9" t="s">
        <v>69</v>
      </c>
      <c r="E31" s="9" t="s">
        <v>22</v>
      </c>
      <c r="F31" s="9" t="s">
        <v>16</v>
      </c>
      <c r="G31" s="9">
        <v>29106</v>
      </c>
      <c r="H31" s="10" t="s">
        <v>35</v>
      </c>
      <c r="I31" s="12">
        <v>-1</v>
      </c>
      <c r="J31" s="28"/>
      <c r="K31" s="28"/>
    </row>
    <row r="32" spans="2:11" ht="21" customHeight="1" x14ac:dyDescent="0.4">
      <c r="B32" s="7">
        <v>44799</v>
      </c>
      <c r="C32" s="8">
        <v>0.44260416666666669</v>
      </c>
      <c r="D32" s="9" t="s">
        <v>69</v>
      </c>
      <c r="E32" s="9" t="s">
        <v>22</v>
      </c>
      <c r="F32" s="9">
        <v>7898211660495</v>
      </c>
      <c r="G32" s="9">
        <v>29904</v>
      </c>
      <c r="H32" s="10" t="s">
        <v>34</v>
      </c>
      <c r="I32" s="12">
        <v>-2</v>
      </c>
      <c r="J32" s="28"/>
      <c r="K32" s="28"/>
    </row>
    <row r="33" spans="2:11" ht="21" customHeight="1" x14ac:dyDescent="0.4">
      <c r="B33" s="7">
        <v>44799</v>
      </c>
      <c r="C33" s="8">
        <v>0.44601851851851854</v>
      </c>
      <c r="D33" s="9" t="s">
        <v>69</v>
      </c>
      <c r="E33" s="9" t="s">
        <v>22</v>
      </c>
      <c r="F33" s="9" t="s">
        <v>16</v>
      </c>
      <c r="G33" s="9">
        <v>29106</v>
      </c>
      <c r="H33" s="10" t="s">
        <v>35</v>
      </c>
      <c r="I33" s="12">
        <v>-1</v>
      </c>
      <c r="J33" s="28"/>
      <c r="K33" s="28"/>
    </row>
    <row r="34" spans="2:11" ht="21" customHeight="1" x14ac:dyDescent="0.4">
      <c r="B34" s="7">
        <v>44799</v>
      </c>
      <c r="C34" s="8">
        <v>0.6598032407407407</v>
      </c>
      <c r="D34" s="9" t="s">
        <v>69</v>
      </c>
      <c r="E34" s="9" t="s">
        <v>22</v>
      </c>
      <c r="F34" s="9">
        <v>7898211660051</v>
      </c>
      <c r="G34" s="9">
        <v>317</v>
      </c>
      <c r="H34" s="10" t="s">
        <v>9</v>
      </c>
      <c r="I34" s="12">
        <v>-1</v>
      </c>
      <c r="J34" s="28"/>
      <c r="K34" s="28"/>
    </row>
    <row r="35" spans="2:11" ht="21" customHeight="1" x14ac:dyDescent="0.4">
      <c r="B35" s="7">
        <v>44799</v>
      </c>
      <c r="C35" s="8">
        <v>0.74436342592592597</v>
      </c>
      <c r="D35" s="9" t="s">
        <v>69</v>
      </c>
      <c r="E35" s="9" t="s">
        <v>22</v>
      </c>
      <c r="F35" s="9" t="s">
        <v>16</v>
      </c>
      <c r="G35" s="9">
        <v>29106</v>
      </c>
      <c r="H35" s="10" t="s">
        <v>35</v>
      </c>
      <c r="I35" s="12">
        <v>-1</v>
      </c>
      <c r="J35" s="28"/>
      <c r="K35" s="28"/>
    </row>
    <row r="36" spans="2:11" ht="21" customHeight="1" x14ac:dyDescent="0.4">
      <c r="B36" s="7">
        <v>44799</v>
      </c>
      <c r="C36" s="8">
        <v>0.7459027777777778</v>
      </c>
      <c r="D36" s="9" t="s">
        <v>69</v>
      </c>
      <c r="E36" s="9" t="s">
        <v>22</v>
      </c>
      <c r="F36" s="9" t="s">
        <v>16</v>
      </c>
      <c r="G36" s="9">
        <v>29107</v>
      </c>
      <c r="H36" s="10" t="s">
        <v>17</v>
      </c>
      <c r="I36" s="12">
        <v>-1</v>
      </c>
      <c r="J36" s="28"/>
      <c r="K36" s="28"/>
    </row>
    <row r="37" spans="2:11" ht="21" customHeight="1" x14ac:dyDescent="0.4">
      <c r="B37" s="7">
        <v>44799</v>
      </c>
      <c r="C37" s="8">
        <v>0.74612268518518521</v>
      </c>
      <c r="D37" s="9" t="s">
        <v>69</v>
      </c>
      <c r="E37" s="9" t="s">
        <v>22</v>
      </c>
      <c r="F37" s="9">
        <v>7898211660495</v>
      </c>
      <c r="G37" s="9">
        <v>29904</v>
      </c>
      <c r="H37" s="10" t="s">
        <v>34</v>
      </c>
      <c r="I37" s="12">
        <v>-1</v>
      </c>
      <c r="J37" s="28"/>
      <c r="K37" s="28"/>
    </row>
    <row r="38" spans="2:11" ht="21" customHeight="1" x14ac:dyDescent="0.4">
      <c r="B38" s="7">
        <v>44799</v>
      </c>
      <c r="C38" s="8">
        <v>0.74712962962962959</v>
      </c>
      <c r="D38" s="9" t="s">
        <v>69</v>
      </c>
      <c r="E38" s="9" t="s">
        <v>22</v>
      </c>
      <c r="F38" s="9" t="s">
        <v>16</v>
      </c>
      <c r="G38" s="9">
        <v>29107</v>
      </c>
      <c r="H38" s="10" t="s">
        <v>17</v>
      </c>
      <c r="I38" s="12">
        <v>-1</v>
      </c>
      <c r="J38" s="28"/>
      <c r="K38" s="28"/>
    </row>
    <row r="39" spans="2:11" ht="21" customHeight="1" x14ac:dyDescent="0.4">
      <c r="B39" s="7">
        <v>44802</v>
      </c>
      <c r="C39" s="8">
        <v>0.43562499999999998</v>
      </c>
      <c r="D39" s="9" t="s">
        <v>69</v>
      </c>
      <c r="E39" s="9" t="s">
        <v>22</v>
      </c>
      <c r="F39" s="9" t="s">
        <v>16</v>
      </c>
      <c r="G39" s="9">
        <v>29106</v>
      </c>
      <c r="H39" s="10" t="s">
        <v>35</v>
      </c>
      <c r="I39" s="12">
        <v>-1</v>
      </c>
      <c r="J39" s="28"/>
      <c r="K39" s="28"/>
    </row>
    <row r="40" spans="2:11" ht="21" customHeight="1" x14ac:dyDescent="0.4">
      <c r="B40" s="7">
        <v>44802</v>
      </c>
      <c r="C40" s="8">
        <v>0.43562499999999998</v>
      </c>
      <c r="D40" s="9" t="s">
        <v>69</v>
      </c>
      <c r="E40" s="9" t="s">
        <v>22</v>
      </c>
      <c r="F40" s="9" t="s">
        <v>16</v>
      </c>
      <c r="G40" s="9">
        <v>29107</v>
      </c>
      <c r="H40" s="10" t="s">
        <v>17</v>
      </c>
      <c r="I40" s="12">
        <v>-2</v>
      </c>
      <c r="J40" s="28"/>
      <c r="K40" s="28"/>
    </row>
    <row r="41" spans="2:11" ht="21" customHeight="1" x14ac:dyDescent="0.4">
      <c r="B41" s="7">
        <v>44802</v>
      </c>
      <c r="C41" s="8">
        <v>0.43562499999999998</v>
      </c>
      <c r="D41" s="9" t="s">
        <v>69</v>
      </c>
      <c r="E41" s="9" t="s">
        <v>22</v>
      </c>
      <c r="F41" s="9">
        <v>7898211660723</v>
      </c>
      <c r="G41" s="9">
        <v>326</v>
      </c>
      <c r="H41" s="10" t="s">
        <v>14</v>
      </c>
      <c r="I41" s="12">
        <v>-1</v>
      </c>
      <c r="J41" s="28"/>
      <c r="K41" s="28"/>
    </row>
    <row r="42" spans="2:11" ht="21" customHeight="1" x14ac:dyDescent="0.4">
      <c r="B42" s="7">
        <v>44802</v>
      </c>
      <c r="C42" s="8">
        <v>0.4424305555555556</v>
      </c>
      <c r="D42" s="9" t="s">
        <v>69</v>
      </c>
      <c r="E42" s="9" t="s">
        <v>22</v>
      </c>
      <c r="F42" s="9" t="s">
        <v>16</v>
      </c>
      <c r="G42" s="9">
        <v>29107</v>
      </c>
      <c r="H42" s="10" t="s">
        <v>17</v>
      </c>
      <c r="I42" s="12">
        <v>-1</v>
      </c>
      <c r="J42" s="28"/>
      <c r="K42" s="28"/>
    </row>
    <row r="43" spans="2:11" ht="21" customHeight="1" x14ac:dyDescent="0.4">
      <c r="B43" s="7">
        <v>44802</v>
      </c>
      <c r="C43" s="8">
        <v>0.44324074074074077</v>
      </c>
      <c r="D43" s="9" t="s">
        <v>69</v>
      </c>
      <c r="E43" s="9" t="s">
        <v>22</v>
      </c>
      <c r="F43" s="9" t="s">
        <v>16</v>
      </c>
      <c r="G43" s="9">
        <v>29901</v>
      </c>
      <c r="H43" s="10" t="s">
        <v>36</v>
      </c>
      <c r="I43" s="12">
        <v>-1</v>
      </c>
      <c r="J43" s="28"/>
      <c r="K43" s="28"/>
    </row>
    <row r="44" spans="2:11" ht="21" customHeight="1" x14ac:dyDescent="0.4">
      <c r="B44" s="7">
        <v>44802</v>
      </c>
      <c r="C44" s="8">
        <v>0.44324074074074077</v>
      </c>
      <c r="D44" s="9" t="s">
        <v>69</v>
      </c>
      <c r="E44" s="9" t="s">
        <v>22</v>
      </c>
      <c r="F44" s="9" t="s">
        <v>16</v>
      </c>
      <c r="G44" s="9">
        <v>29902</v>
      </c>
      <c r="H44" s="10" t="s">
        <v>37</v>
      </c>
      <c r="I44" s="12">
        <v>-1</v>
      </c>
      <c r="J44" s="28"/>
      <c r="K44" s="28"/>
    </row>
    <row r="45" spans="2:11" ht="21" customHeight="1" x14ac:dyDescent="0.4">
      <c r="B45" s="7">
        <v>44802</v>
      </c>
      <c r="C45" s="8">
        <v>0.45673611111111106</v>
      </c>
      <c r="D45" s="9" t="s">
        <v>69</v>
      </c>
      <c r="E45" s="9" t="s">
        <v>22</v>
      </c>
      <c r="F45" s="9">
        <v>7898211660563</v>
      </c>
      <c r="G45" s="9">
        <v>29712</v>
      </c>
      <c r="H45" s="10" t="s">
        <v>42</v>
      </c>
      <c r="I45" s="12">
        <v>-1</v>
      </c>
      <c r="J45" s="28"/>
      <c r="K45" s="28"/>
    </row>
    <row r="46" spans="2:11" ht="21" customHeight="1" x14ac:dyDescent="0.4">
      <c r="B46" s="7">
        <v>44802</v>
      </c>
      <c r="C46" s="8">
        <v>0.49572916666666672</v>
      </c>
      <c r="D46" s="9" t="s">
        <v>69</v>
      </c>
      <c r="E46" s="9" t="s">
        <v>22</v>
      </c>
      <c r="F46" s="9" t="s">
        <v>16</v>
      </c>
      <c r="G46" s="9">
        <v>29107</v>
      </c>
      <c r="H46" s="10" t="s">
        <v>17</v>
      </c>
      <c r="I46" s="12">
        <v>18</v>
      </c>
      <c r="J46" s="28"/>
      <c r="K46" s="28"/>
    </row>
    <row r="47" spans="2:11" ht="21" customHeight="1" x14ac:dyDescent="0.4">
      <c r="B47" s="7">
        <v>44802</v>
      </c>
      <c r="C47" s="8">
        <v>0.49572916666666672</v>
      </c>
      <c r="D47" s="9" t="s">
        <v>69</v>
      </c>
      <c r="E47" s="9" t="s">
        <v>22</v>
      </c>
      <c r="F47" s="9">
        <v>7898211660495</v>
      </c>
      <c r="G47" s="9">
        <v>29904</v>
      </c>
      <c r="H47" s="10" t="s">
        <v>34</v>
      </c>
      <c r="I47" s="12">
        <v>30</v>
      </c>
      <c r="J47" s="28"/>
      <c r="K47" s="28"/>
    </row>
    <row r="48" spans="2:11" ht="21" customHeight="1" x14ac:dyDescent="0.4">
      <c r="B48" s="7">
        <v>44802</v>
      </c>
      <c r="C48" s="8">
        <v>0.49572916666666672</v>
      </c>
      <c r="D48" s="9" t="s">
        <v>69</v>
      </c>
      <c r="E48" s="9" t="s">
        <v>22</v>
      </c>
      <c r="F48" s="9">
        <v>7898211660495</v>
      </c>
      <c r="G48" s="9">
        <v>29904</v>
      </c>
      <c r="H48" s="10" t="s">
        <v>34</v>
      </c>
      <c r="I48" s="12">
        <v>30</v>
      </c>
      <c r="J48" s="28"/>
      <c r="K48" s="28"/>
    </row>
    <row r="49" spans="2:11" ht="21" customHeight="1" x14ac:dyDescent="0.4">
      <c r="B49" s="7">
        <v>44802</v>
      </c>
      <c r="C49" s="8">
        <v>0.49986111111111109</v>
      </c>
      <c r="D49" s="9" t="s">
        <v>69</v>
      </c>
      <c r="E49" s="9" t="s">
        <v>22</v>
      </c>
      <c r="F49" s="9">
        <v>7898211660495</v>
      </c>
      <c r="G49" s="9">
        <v>29904</v>
      </c>
      <c r="H49" s="10" t="s">
        <v>34</v>
      </c>
      <c r="I49" s="12">
        <v>-1</v>
      </c>
      <c r="J49" s="28"/>
      <c r="K49" s="28"/>
    </row>
    <row r="50" spans="2:11" ht="21" customHeight="1" x14ac:dyDescent="0.4">
      <c r="B50" s="7">
        <v>44802</v>
      </c>
      <c r="C50" s="8">
        <v>0.76030092592592602</v>
      </c>
      <c r="D50" s="9" t="s">
        <v>69</v>
      </c>
      <c r="E50" s="9" t="s">
        <v>22</v>
      </c>
      <c r="F50" s="9">
        <v>7898211660495</v>
      </c>
      <c r="G50" s="9">
        <v>29904</v>
      </c>
      <c r="H50" s="10" t="s">
        <v>34</v>
      </c>
      <c r="I50" s="12">
        <v>-9</v>
      </c>
      <c r="J50" s="28"/>
      <c r="K50" s="28"/>
    </row>
    <row r="51" spans="2:11" ht="21" customHeight="1" x14ac:dyDescent="0.4">
      <c r="B51" s="7">
        <v>44802</v>
      </c>
      <c r="C51" s="8">
        <v>0.76090277777777782</v>
      </c>
      <c r="D51" s="9" t="s">
        <v>69</v>
      </c>
      <c r="E51" s="9" t="s">
        <v>22</v>
      </c>
      <c r="F51" s="9" t="s">
        <v>16</v>
      </c>
      <c r="G51" s="9">
        <v>29107</v>
      </c>
      <c r="H51" s="10" t="s">
        <v>17</v>
      </c>
      <c r="I51" s="12">
        <v>-19</v>
      </c>
      <c r="J51" s="28"/>
      <c r="K51" s="28"/>
    </row>
    <row r="52" spans="2:11" ht="21" customHeight="1" x14ac:dyDescent="0.4">
      <c r="B52" s="7">
        <v>44803</v>
      </c>
      <c r="C52" s="8">
        <v>0.38489583333333338</v>
      </c>
      <c r="D52" s="9" t="s">
        <v>69</v>
      </c>
      <c r="E52" s="9" t="s">
        <v>22</v>
      </c>
      <c r="F52" s="9" t="s">
        <v>16</v>
      </c>
      <c r="G52" s="9">
        <v>29107</v>
      </c>
      <c r="H52" s="10" t="s">
        <v>17</v>
      </c>
      <c r="I52" s="12">
        <v>-3</v>
      </c>
      <c r="J52" s="28"/>
      <c r="K52" s="28"/>
    </row>
    <row r="53" spans="2:11" ht="21" customHeight="1" x14ac:dyDescent="0.4">
      <c r="B53" s="7">
        <v>44803</v>
      </c>
      <c r="C53" s="8">
        <v>0.38489583333333338</v>
      </c>
      <c r="D53" s="9" t="s">
        <v>69</v>
      </c>
      <c r="E53" s="9" t="s">
        <v>22</v>
      </c>
      <c r="F53" s="9">
        <v>7898211660495</v>
      </c>
      <c r="G53" s="9">
        <v>29904</v>
      </c>
      <c r="H53" s="10" t="s">
        <v>34</v>
      </c>
      <c r="I53" s="12">
        <v>-1</v>
      </c>
      <c r="J53" s="28"/>
      <c r="K53" s="28"/>
    </row>
    <row r="54" spans="2:11" ht="21" customHeight="1" x14ac:dyDescent="0.4">
      <c r="B54" s="7">
        <v>44803</v>
      </c>
      <c r="C54" s="8">
        <v>0.38489583333333338</v>
      </c>
      <c r="D54" s="9" t="s">
        <v>69</v>
      </c>
      <c r="E54" s="9" t="s">
        <v>22</v>
      </c>
      <c r="F54" s="9" t="s">
        <v>16</v>
      </c>
      <c r="G54" s="9">
        <v>29106</v>
      </c>
      <c r="H54" s="10" t="s">
        <v>35</v>
      </c>
      <c r="I54" s="12">
        <v>-1</v>
      </c>
      <c r="J54" s="28"/>
      <c r="K54" s="28"/>
    </row>
    <row r="55" spans="2:11" ht="21" customHeight="1" x14ac:dyDescent="0.4">
      <c r="B55" s="7">
        <v>44803</v>
      </c>
      <c r="C55" s="8">
        <v>0.38670138888888889</v>
      </c>
      <c r="D55" s="9" t="s">
        <v>69</v>
      </c>
      <c r="E55" s="9" t="s">
        <v>22</v>
      </c>
      <c r="F55" s="9">
        <v>7898211660495</v>
      </c>
      <c r="G55" s="9">
        <v>29904</v>
      </c>
      <c r="H55" s="10" t="s">
        <v>34</v>
      </c>
      <c r="I55" s="12">
        <v>-1</v>
      </c>
      <c r="J55" s="28"/>
      <c r="K55" s="28"/>
    </row>
    <row r="56" spans="2:11" ht="21" customHeight="1" x14ac:dyDescent="0.4">
      <c r="B56" s="7">
        <v>44803</v>
      </c>
      <c r="C56" s="8">
        <v>0.47627314814814814</v>
      </c>
      <c r="D56" s="9" t="s">
        <v>69</v>
      </c>
      <c r="E56" s="9" t="s">
        <v>22</v>
      </c>
      <c r="F56" s="9">
        <v>7898211660051</v>
      </c>
      <c r="G56" s="9">
        <v>317</v>
      </c>
      <c r="H56" s="10" t="s">
        <v>9</v>
      </c>
      <c r="I56" s="12">
        <v>-1</v>
      </c>
      <c r="J56" s="28"/>
      <c r="K56" s="28"/>
    </row>
    <row r="57" spans="2:11" ht="21" customHeight="1" x14ac:dyDescent="0.4">
      <c r="B57" s="7">
        <v>44803</v>
      </c>
      <c r="C57" s="8">
        <v>0.47627314814814814</v>
      </c>
      <c r="D57" s="9" t="s">
        <v>69</v>
      </c>
      <c r="E57" s="9" t="s">
        <v>22</v>
      </c>
      <c r="F57" s="9" t="s">
        <v>16</v>
      </c>
      <c r="G57" s="9">
        <v>29107</v>
      </c>
      <c r="H57" s="10" t="s">
        <v>17</v>
      </c>
      <c r="I57" s="12">
        <v>-1</v>
      </c>
      <c r="J57" s="28"/>
      <c r="K57" s="28"/>
    </row>
    <row r="58" spans="2:11" ht="21" customHeight="1" x14ac:dyDescent="0.4">
      <c r="B58" s="7">
        <v>44803</v>
      </c>
      <c r="C58" s="8">
        <v>0.64156250000000004</v>
      </c>
      <c r="D58" s="9" t="s">
        <v>69</v>
      </c>
      <c r="E58" s="9" t="s">
        <v>22</v>
      </c>
      <c r="F58" s="9" t="s">
        <v>16</v>
      </c>
      <c r="G58" s="9">
        <v>29107</v>
      </c>
      <c r="H58" s="10" t="s">
        <v>17</v>
      </c>
      <c r="I58" s="12">
        <v>-1</v>
      </c>
      <c r="J58" s="28"/>
      <c r="K58" s="28"/>
    </row>
    <row r="59" spans="2:11" ht="21" customHeight="1" x14ac:dyDescent="0.4">
      <c r="B59" s="7">
        <v>44803</v>
      </c>
      <c r="C59" s="8">
        <v>0.64156250000000004</v>
      </c>
      <c r="D59" s="9" t="s">
        <v>69</v>
      </c>
      <c r="E59" s="9" t="s">
        <v>22</v>
      </c>
      <c r="F59" s="9">
        <v>7898211660495</v>
      </c>
      <c r="G59" s="9">
        <v>29904</v>
      </c>
      <c r="H59" s="10" t="s">
        <v>34</v>
      </c>
      <c r="I59" s="12">
        <v>-1</v>
      </c>
      <c r="J59" s="28"/>
      <c r="K59" s="28"/>
    </row>
    <row r="60" spans="2:11" ht="21" customHeight="1" x14ac:dyDescent="0.4">
      <c r="B60" s="7">
        <v>44803</v>
      </c>
      <c r="C60" s="8">
        <v>0.64156250000000004</v>
      </c>
      <c r="D60" s="9" t="s">
        <v>69</v>
      </c>
      <c r="E60" s="9" t="s">
        <v>22</v>
      </c>
      <c r="F60" s="9">
        <v>7898211660877</v>
      </c>
      <c r="G60" s="9">
        <v>333</v>
      </c>
      <c r="H60" s="10" t="s">
        <v>10</v>
      </c>
      <c r="I60" s="12">
        <v>-1</v>
      </c>
      <c r="J60" s="28"/>
      <c r="K60" s="28"/>
    </row>
    <row r="61" spans="2:11" ht="21" customHeight="1" x14ac:dyDescent="0.4">
      <c r="B61" s="7">
        <v>44803</v>
      </c>
      <c r="C61" s="8">
        <v>0.64156250000000004</v>
      </c>
      <c r="D61" s="9" t="s">
        <v>69</v>
      </c>
      <c r="E61" s="9" t="s">
        <v>22</v>
      </c>
      <c r="F61" s="9">
        <v>7898211660518</v>
      </c>
      <c r="G61" s="9">
        <v>29720</v>
      </c>
      <c r="H61" s="10" t="s">
        <v>40</v>
      </c>
      <c r="I61" s="12">
        <v>-1</v>
      </c>
      <c r="J61" s="28"/>
      <c r="K61" s="28"/>
    </row>
    <row r="62" spans="2:11" ht="21" customHeight="1" x14ac:dyDescent="0.4">
      <c r="B62" s="7">
        <v>44803</v>
      </c>
      <c r="C62" s="8">
        <v>0.64156250000000004</v>
      </c>
      <c r="D62" s="9" t="s">
        <v>69</v>
      </c>
      <c r="E62" s="9" t="s">
        <v>22</v>
      </c>
      <c r="F62" s="9">
        <v>7898211660501</v>
      </c>
      <c r="G62" s="9">
        <v>29715</v>
      </c>
      <c r="H62" s="10" t="s">
        <v>13</v>
      </c>
      <c r="I62" s="12">
        <v>-1</v>
      </c>
      <c r="J62" s="28"/>
      <c r="K62" s="28"/>
    </row>
    <row r="63" spans="2:11" ht="21" customHeight="1" x14ac:dyDescent="0.4">
      <c r="B63" s="7">
        <v>44803</v>
      </c>
      <c r="C63" s="8">
        <v>0.64156250000000004</v>
      </c>
      <c r="D63" s="9" t="s">
        <v>69</v>
      </c>
      <c r="E63" s="9" t="s">
        <v>22</v>
      </c>
      <c r="F63" s="9" t="s">
        <v>16</v>
      </c>
      <c r="G63" s="9">
        <v>29901</v>
      </c>
      <c r="H63" s="10" t="s">
        <v>36</v>
      </c>
      <c r="I63" s="12">
        <v>-1</v>
      </c>
      <c r="J63" s="28"/>
      <c r="K63" s="28"/>
    </row>
    <row r="64" spans="2:11" ht="21" customHeight="1" x14ac:dyDescent="0.4">
      <c r="B64" s="7">
        <v>44803</v>
      </c>
      <c r="C64" s="8">
        <v>0.64156250000000004</v>
      </c>
      <c r="D64" s="9" t="s">
        <v>69</v>
      </c>
      <c r="E64" s="9" t="s">
        <v>22</v>
      </c>
      <c r="F64" s="9" t="s">
        <v>16</v>
      </c>
      <c r="G64" s="9">
        <v>29902</v>
      </c>
      <c r="H64" s="10" t="s">
        <v>37</v>
      </c>
      <c r="I64" s="12">
        <v>-1</v>
      </c>
      <c r="J64" s="28"/>
      <c r="K64" s="28"/>
    </row>
    <row r="65" spans="2:11" ht="21" customHeight="1" x14ac:dyDescent="0.4">
      <c r="B65" s="7">
        <v>44804</v>
      </c>
      <c r="C65" s="8">
        <v>0.58614583333333337</v>
      </c>
      <c r="D65" s="9" t="s">
        <v>69</v>
      </c>
      <c r="E65" s="9" t="s">
        <v>22</v>
      </c>
      <c r="F65" s="9">
        <v>7898211660518</v>
      </c>
      <c r="G65" s="9">
        <v>29720</v>
      </c>
      <c r="H65" s="10" t="s">
        <v>40</v>
      </c>
      <c r="I65" s="12">
        <v>-1</v>
      </c>
      <c r="J65" s="28"/>
      <c r="K65" s="28"/>
    </row>
    <row r="66" spans="2:11" ht="21" customHeight="1" x14ac:dyDescent="0.4">
      <c r="B66" s="7">
        <v>44804</v>
      </c>
      <c r="C66" s="8">
        <v>0.58614583333333337</v>
      </c>
      <c r="D66" s="9" t="s">
        <v>69</v>
      </c>
      <c r="E66" s="9" t="s">
        <v>22</v>
      </c>
      <c r="F66" s="9">
        <v>7898211660495</v>
      </c>
      <c r="G66" s="9">
        <v>29904</v>
      </c>
      <c r="H66" s="10" t="s">
        <v>34</v>
      </c>
      <c r="I66" s="12">
        <v>-2</v>
      </c>
      <c r="J66" s="28"/>
      <c r="K66" s="28"/>
    </row>
    <row r="67" spans="2:11" ht="21" customHeight="1" x14ac:dyDescent="0.4">
      <c r="B67" s="7">
        <v>44804</v>
      </c>
      <c r="C67" s="8">
        <v>0.58614583333333337</v>
      </c>
      <c r="D67" s="9" t="s">
        <v>69</v>
      </c>
      <c r="E67" s="9" t="s">
        <v>22</v>
      </c>
      <c r="F67" s="9" t="s">
        <v>16</v>
      </c>
      <c r="G67" s="9">
        <v>29106</v>
      </c>
      <c r="H67" s="10" t="s">
        <v>35</v>
      </c>
      <c r="I67" s="12">
        <v>-1</v>
      </c>
      <c r="J67" s="28"/>
      <c r="K67" s="28"/>
    </row>
    <row r="68" spans="2:11" ht="21" customHeight="1" x14ac:dyDescent="0.4">
      <c r="B68" s="7">
        <v>44804</v>
      </c>
      <c r="C68" s="8">
        <v>0.77800925925925923</v>
      </c>
      <c r="D68" s="9" t="s">
        <v>69</v>
      </c>
      <c r="E68" s="9" t="s">
        <v>22</v>
      </c>
      <c r="F68" s="9" t="s">
        <v>16</v>
      </c>
      <c r="G68" s="9">
        <v>29107</v>
      </c>
      <c r="H68" s="10" t="s">
        <v>17</v>
      </c>
      <c r="I68" s="12">
        <v>1</v>
      </c>
      <c r="J68" s="28"/>
      <c r="K68" s="28"/>
    </row>
  </sheetData>
  <mergeCells count="1">
    <mergeCell ref="B2:K2"/>
  </mergeCells>
  <conditionalFormatting sqref="I5">
    <cfRule type="cellIs" dxfId="100" priority="87" operator="greaterThan">
      <formula>-1</formula>
    </cfRule>
    <cfRule type="cellIs" dxfId="99" priority="88" operator="lessThan">
      <formula>0</formula>
    </cfRule>
  </conditionalFormatting>
  <conditionalFormatting sqref="I6:I7">
    <cfRule type="cellIs" dxfId="98" priority="81" operator="greaterThan">
      <formula>-1</formula>
    </cfRule>
    <cfRule type="cellIs" dxfId="97" priority="82" operator="lessThan">
      <formula>0</formula>
    </cfRule>
  </conditionalFormatting>
  <conditionalFormatting sqref="I8:I9">
    <cfRule type="cellIs" dxfId="96" priority="75" operator="greaterThan">
      <formula>-1</formula>
    </cfRule>
    <cfRule type="cellIs" dxfId="95" priority="76" operator="lessThan">
      <formula>0</formula>
    </cfRule>
  </conditionalFormatting>
  <conditionalFormatting sqref="I4">
    <cfRule type="cellIs" dxfId="94" priority="71" operator="greaterThan">
      <formula>-1</formula>
    </cfRule>
    <cfRule type="cellIs" dxfId="93" priority="72" operator="lessThan">
      <formula>0</formula>
    </cfRule>
  </conditionalFormatting>
  <conditionalFormatting sqref="I10">
    <cfRule type="cellIs" dxfId="92" priority="63" operator="greaterThan">
      <formula>-1</formula>
    </cfRule>
    <cfRule type="cellIs" dxfId="91" priority="64" operator="lessThan">
      <formula>0</formula>
    </cfRule>
  </conditionalFormatting>
  <conditionalFormatting sqref="I11">
    <cfRule type="cellIs" dxfId="90" priority="47" operator="greaterThan">
      <formula>-1</formula>
    </cfRule>
    <cfRule type="cellIs" dxfId="89" priority="48" operator="lessThan">
      <formula>0</formula>
    </cfRule>
  </conditionalFormatting>
  <conditionalFormatting sqref="I12">
    <cfRule type="cellIs" dxfId="88" priority="45" operator="greaterThan">
      <formula>-1</formula>
    </cfRule>
    <cfRule type="cellIs" dxfId="87" priority="46" operator="lessThan">
      <formula>0</formula>
    </cfRule>
  </conditionalFormatting>
  <conditionalFormatting sqref="I13">
    <cfRule type="cellIs" dxfId="86" priority="43" operator="greaterThan">
      <formula>-1</formula>
    </cfRule>
    <cfRule type="cellIs" dxfId="85" priority="44" operator="lessThan">
      <formula>0</formula>
    </cfRule>
  </conditionalFormatting>
  <conditionalFormatting sqref="I14">
    <cfRule type="cellIs" dxfId="84" priority="41" operator="greaterThan">
      <formula>-1</formula>
    </cfRule>
    <cfRule type="cellIs" dxfId="83" priority="42" operator="lessThan">
      <formula>0</formula>
    </cfRule>
  </conditionalFormatting>
  <conditionalFormatting sqref="I15">
    <cfRule type="cellIs" dxfId="82" priority="39" operator="greaterThan">
      <formula>-1</formula>
    </cfRule>
    <cfRule type="cellIs" dxfId="81" priority="40" operator="lessThan">
      <formula>0</formula>
    </cfRule>
  </conditionalFormatting>
  <conditionalFormatting sqref="I16">
    <cfRule type="cellIs" dxfId="80" priority="37" operator="greaterThan">
      <formula>-1</formula>
    </cfRule>
    <cfRule type="cellIs" dxfId="79" priority="38" operator="lessThan">
      <formula>0</formula>
    </cfRule>
  </conditionalFormatting>
  <conditionalFormatting sqref="I17">
    <cfRule type="cellIs" dxfId="78" priority="35" operator="greaterThan">
      <formula>-1</formula>
    </cfRule>
    <cfRule type="cellIs" dxfId="77" priority="36" operator="lessThan">
      <formula>0</formula>
    </cfRule>
  </conditionalFormatting>
  <conditionalFormatting sqref="I18">
    <cfRule type="cellIs" dxfId="76" priority="33" operator="greaterThan">
      <formula>-1</formula>
    </cfRule>
    <cfRule type="cellIs" dxfId="75" priority="34" operator="lessThan">
      <formula>0</formula>
    </cfRule>
  </conditionalFormatting>
  <conditionalFormatting sqref="I19">
    <cfRule type="cellIs" dxfId="74" priority="31" operator="greaterThan">
      <formula>-1</formula>
    </cfRule>
    <cfRule type="cellIs" dxfId="73" priority="32" operator="lessThan">
      <formula>0</formula>
    </cfRule>
  </conditionalFormatting>
  <conditionalFormatting sqref="I20">
    <cfRule type="cellIs" dxfId="72" priority="29" operator="greaterThan">
      <formula>-1</formula>
    </cfRule>
    <cfRule type="cellIs" dxfId="71" priority="30" operator="lessThan">
      <formula>0</formula>
    </cfRule>
  </conditionalFormatting>
  <conditionalFormatting sqref="I21">
    <cfRule type="cellIs" dxfId="70" priority="27" operator="greaterThan">
      <formula>-1</formula>
    </cfRule>
    <cfRule type="cellIs" dxfId="69" priority="28" operator="lessThan">
      <formula>0</formula>
    </cfRule>
  </conditionalFormatting>
  <conditionalFormatting sqref="I22">
    <cfRule type="cellIs" dxfId="68" priority="25" operator="greaterThan">
      <formula>-1</formula>
    </cfRule>
    <cfRule type="cellIs" dxfId="67" priority="26" operator="lessThan">
      <formula>0</formula>
    </cfRule>
  </conditionalFormatting>
  <conditionalFormatting sqref="I23">
    <cfRule type="cellIs" dxfId="66" priority="23" operator="greaterThan">
      <formula>-1</formula>
    </cfRule>
    <cfRule type="cellIs" dxfId="65" priority="24" operator="lessThan">
      <formula>0</formula>
    </cfRule>
  </conditionalFormatting>
  <conditionalFormatting sqref="I24">
    <cfRule type="cellIs" dxfId="64" priority="21" operator="greaterThan">
      <formula>-1</formula>
    </cfRule>
    <cfRule type="cellIs" dxfId="63" priority="22" operator="lessThan">
      <formula>0</formula>
    </cfRule>
  </conditionalFormatting>
  <conditionalFormatting sqref="I25">
    <cfRule type="cellIs" dxfId="62" priority="19" operator="greaterThan">
      <formula>-1</formula>
    </cfRule>
    <cfRule type="cellIs" dxfId="61" priority="20" operator="lessThan">
      <formula>0</formula>
    </cfRule>
  </conditionalFormatting>
  <conditionalFormatting sqref="I26:I68">
    <cfRule type="cellIs" dxfId="60" priority="1" operator="greaterThan">
      <formula>-1</formula>
    </cfRule>
    <cfRule type="cellIs" dxfId="59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B1:K31"/>
  <sheetViews>
    <sheetView showGridLines="0" showRowColHeaders="0" topLeftCell="B1" zoomScaleNormal="108" workbookViewId="0">
      <pane ySplit="3" topLeftCell="A4" activePane="bottomLeft" state="frozen"/>
      <selection pane="bottomLeft" activeCell="H4" sqref="H4"/>
    </sheetView>
  </sheetViews>
  <sheetFormatPr defaultColWidth="0" defaultRowHeight="14.4" customHeight="1" zeroHeight="1" x14ac:dyDescent="0.3"/>
  <cols>
    <col min="1" max="1" width="8.88671875" hidden="1" customWidth="1"/>
    <col min="2" max="3" width="15.5546875" customWidth="1"/>
    <col min="4" max="4" width="16.6640625" customWidth="1"/>
    <col min="5" max="5" width="20" customWidth="1"/>
    <col min="6" max="7" width="20" hidden="1" customWidth="1"/>
    <col min="8" max="8" width="44.44140625" customWidth="1"/>
    <col min="9" max="9" width="13.33203125" customWidth="1"/>
    <col min="10" max="10" width="64.44140625" customWidth="1"/>
    <col min="11" max="11" width="0" hidden="1" customWidth="1"/>
    <col min="12" max="16384" width="8.88671875" hidden="1"/>
  </cols>
  <sheetData>
    <row r="1" spans="2:10" ht="51" customHeight="1" x14ac:dyDescent="0.3">
      <c r="B1" s="14" t="e">
        <f>CONCATENATE("Olá, ",LEFT(actv[],1),LOWER(RIGHT(actv[],LEN(actv[])-1)))</f>
        <v>#VALUE!</v>
      </c>
      <c r="C1" s="15"/>
      <c r="D1" s="15"/>
      <c r="E1" s="15"/>
      <c r="F1" s="15"/>
      <c r="G1" s="15"/>
      <c r="H1" s="15"/>
      <c r="I1" s="15"/>
      <c r="J1" s="15"/>
    </row>
    <row r="2" spans="2:10" ht="48" customHeight="1" x14ac:dyDescent="0.3">
      <c r="B2" s="48"/>
      <c r="C2" s="49"/>
      <c r="D2" s="49"/>
      <c r="E2" s="49"/>
      <c r="F2" s="49"/>
      <c r="G2" s="49"/>
      <c r="H2" s="49"/>
      <c r="I2" s="49"/>
      <c r="J2" s="50"/>
    </row>
    <row r="3" spans="2:10" ht="21" customHeight="1" x14ac:dyDescent="0.3">
      <c r="B3" s="11" t="s">
        <v>11</v>
      </c>
      <c r="C3" s="11" t="s">
        <v>12</v>
      </c>
      <c r="D3" s="11" t="s">
        <v>24</v>
      </c>
      <c r="E3" s="11" t="s">
        <v>15</v>
      </c>
      <c r="F3" s="11" t="s">
        <v>0</v>
      </c>
      <c r="G3" s="11" t="s">
        <v>1</v>
      </c>
      <c r="H3" s="11" t="s">
        <v>2</v>
      </c>
      <c r="I3" s="11" t="s">
        <v>46</v>
      </c>
      <c r="J3" s="11" t="s">
        <v>47</v>
      </c>
    </row>
    <row r="4" spans="2:10" ht="21" customHeight="1" x14ac:dyDescent="0.4">
      <c r="B4" s="25">
        <v>44784</v>
      </c>
      <c r="C4" s="20">
        <v>0.64504629629629628</v>
      </c>
      <c r="D4" s="21" t="s">
        <v>53</v>
      </c>
      <c r="E4" s="21" t="s">
        <v>22</v>
      </c>
      <c r="F4" s="21" t="s">
        <v>16</v>
      </c>
      <c r="G4" s="21">
        <v>254</v>
      </c>
      <c r="H4" s="22" t="s">
        <v>18</v>
      </c>
      <c r="I4" s="23">
        <v>1</v>
      </c>
      <c r="J4" s="24" t="s">
        <v>54</v>
      </c>
    </row>
    <row r="5" spans="2:10" ht="21" customHeight="1" x14ac:dyDescent="0.4">
      <c r="B5" s="25">
        <v>44785</v>
      </c>
      <c r="C5" s="20">
        <v>0.48608796296296292</v>
      </c>
      <c r="D5" s="21" t="s">
        <v>55</v>
      </c>
      <c r="E5" s="21" t="s">
        <v>22</v>
      </c>
      <c r="F5" s="21">
        <v>7898211660501</v>
      </c>
      <c r="G5" s="21">
        <v>29715</v>
      </c>
      <c r="H5" s="22" t="s">
        <v>13</v>
      </c>
      <c r="I5" s="23">
        <v>30</v>
      </c>
      <c r="J5" s="24" t="s">
        <v>56</v>
      </c>
    </row>
    <row r="6" spans="2:10" ht="21" customHeight="1" x14ac:dyDescent="0.4">
      <c r="B6" s="25">
        <v>44785</v>
      </c>
      <c r="C6" s="20">
        <v>0.48945601851851855</v>
      </c>
      <c r="D6" s="21" t="s">
        <v>55</v>
      </c>
      <c r="E6" s="21" t="s">
        <v>22</v>
      </c>
      <c r="F6" s="21" t="s">
        <v>16</v>
      </c>
      <c r="G6" s="21">
        <v>29106</v>
      </c>
      <c r="H6" s="22" t="s">
        <v>35</v>
      </c>
      <c r="I6" s="23">
        <v>9</v>
      </c>
      <c r="J6" s="26" t="s">
        <v>57</v>
      </c>
    </row>
    <row r="7" spans="2:10" ht="21" customHeight="1" x14ac:dyDescent="0.4">
      <c r="B7" s="25">
        <v>44786</v>
      </c>
      <c r="C7" s="20">
        <v>0.37526620370370373</v>
      </c>
      <c r="D7" s="21" t="s">
        <v>60</v>
      </c>
      <c r="E7" s="21">
        <v>288042200088</v>
      </c>
      <c r="F7" s="21" t="s">
        <v>16</v>
      </c>
      <c r="G7" s="21">
        <v>288</v>
      </c>
      <c r="H7" s="22" t="s">
        <v>38</v>
      </c>
      <c r="I7" s="23">
        <v>1</v>
      </c>
      <c r="J7" s="24" t="s">
        <v>61</v>
      </c>
    </row>
    <row r="8" spans="2:10" ht="21" customHeight="1" x14ac:dyDescent="0.4">
      <c r="B8" s="25">
        <v>44798</v>
      </c>
      <c r="C8" s="20">
        <v>0.38318287037037035</v>
      </c>
      <c r="D8" s="21" t="s">
        <v>66</v>
      </c>
      <c r="E8" s="9" t="s">
        <v>22</v>
      </c>
      <c r="F8" s="21" t="s">
        <v>16</v>
      </c>
      <c r="G8" s="21">
        <v>29107</v>
      </c>
      <c r="H8" s="22" t="s">
        <v>17</v>
      </c>
      <c r="I8" s="23">
        <v>18</v>
      </c>
      <c r="J8" s="24" t="s">
        <v>68</v>
      </c>
    </row>
    <row r="9" spans="2:10" ht="21" customHeight="1" x14ac:dyDescent="0.4">
      <c r="B9" s="25">
        <v>44798</v>
      </c>
      <c r="C9" s="20">
        <v>0.46246527777777779</v>
      </c>
      <c r="D9" s="21" t="s">
        <v>69</v>
      </c>
      <c r="E9" s="21" t="s">
        <v>22</v>
      </c>
      <c r="F9" s="21" t="s">
        <v>16</v>
      </c>
      <c r="G9" s="21">
        <v>29107</v>
      </c>
      <c r="H9" s="22" t="s">
        <v>17</v>
      </c>
      <c r="I9" s="23">
        <v>1</v>
      </c>
      <c r="J9" s="24" t="s">
        <v>70</v>
      </c>
    </row>
    <row r="10" spans="2:10" ht="21" customHeight="1" x14ac:dyDescent="0.4">
      <c r="B10" s="25">
        <v>44798</v>
      </c>
      <c r="C10" s="20">
        <v>0.57385416666666667</v>
      </c>
      <c r="D10" s="21" t="s">
        <v>69</v>
      </c>
      <c r="E10" s="9" t="s">
        <v>22</v>
      </c>
      <c r="F10" s="21" t="s">
        <v>16</v>
      </c>
      <c r="G10" s="21">
        <v>252</v>
      </c>
      <c r="H10" s="22" t="s">
        <v>44</v>
      </c>
      <c r="I10" s="23">
        <v>2</v>
      </c>
      <c r="J10" s="24" t="s">
        <v>68</v>
      </c>
    </row>
    <row r="11" spans="2:10" ht="21" customHeight="1" x14ac:dyDescent="0.4">
      <c r="B11" s="25">
        <v>44798</v>
      </c>
      <c r="C11" s="20">
        <v>0.57572916666666674</v>
      </c>
      <c r="D11" s="21" t="s">
        <v>69</v>
      </c>
      <c r="E11" s="9" t="s">
        <v>22</v>
      </c>
      <c r="F11" s="21" t="s">
        <v>16</v>
      </c>
      <c r="G11" s="21">
        <v>29901</v>
      </c>
      <c r="H11" s="22" t="s">
        <v>36</v>
      </c>
      <c r="I11" s="23">
        <v>10</v>
      </c>
      <c r="J11" s="24" t="s">
        <v>68</v>
      </c>
    </row>
    <row r="12" spans="2:10" ht="21" customHeight="1" x14ac:dyDescent="0.4">
      <c r="B12" s="25">
        <v>44798</v>
      </c>
      <c r="C12" s="20">
        <v>0.57603009259259264</v>
      </c>
      <c r="D12" s="21" t="s">
        <v>69</v>
      </c>
      <c r="E12" s="9" t="s">
        <v>22</v>
      </c>
      <c r="F12" s="21" t="s">
        <v>16</v>
      </c>
      <c r="G12" s="21">
        <v>29902</v>
      </c>
      <c r="H12" s="22" t="s">
        <v>37</v>
      </c>
      <c r="I12" s="23">
        <v>10</v>
      </c>
      <c r="J12" s="24" t="s">
        <v>68</v>
      </c>
    </row>
    <row r="13" spans="2:10" ht="21" customHeight="1" x14ac:dyDescent="0.4">
      <c r="B13" s="25">
        <v>44798</v>
      </c>
      <c r="C13" s="20">
        <v>0.57629629629629631</v>
      </c>
      <c r="D13" s="21" t="s">
        <v>69</v>
      </c>
      <c r="E13" s="9" t="s">
        <v>22</v>
      </c>
      <c r="F13" s="21">
        <v>7898211660679</v>
      </c>
      <c r="G13" s="21">
        <v>29714</v>
      </c>
      <c r="H13" s="22" t="s">
        <v>23</v>
      </c>
      <c r="I13" s="23">
        <v>10</v>
      </c>
      <c r="J13" s="24" t="s">
        <v>68</v>
      </c>
    </row>
    <row r="14" spans="2:10" ht="21" customHeight="1" x14ac:dyDescent="0.4">
      <c r="B14" s="25">
        <v>44798</v>
      </c>
      <c r="C14" s="20">
        <v>0.57668981481481485</v>
      </c>
      <c r="D14" s="21" t="s">
        <v>69</v>
      </c>
      <c r="E14" s="9" t="s">
        <v>22</v>
      </c>
      <c r="F14" s="21" t="s">
        <v>16</v>
      </c>
      <c r="G14" s="21">
        <v>29107</v>
      </c>
      <c r="H14" s="22" t="s">
        <v>17</v>
      </c>
      <c r="I14" s="23">
        <v>9</v>
      </c>
      <c r="J14" s="24" t="s">
        <v>68</v>
      </c>
    </row>
    <row r="15" spans="2:10" ht="21" customHeight="1" x14ac:dyDescent="0.4">
      <c r="B15" s="25">
        <v>44798</v>
      </c>
      <c r="C15" s="20">
        <v>0.5784259259259259</v>
      </c>
      <c r="D15" s="21" t="s">
        <v>69</v>
      </c>
      <c r="E15" s="9" t="s">
        <v>22</v>
      </c>
      <c r="F15" s="21" t="s">
        <v>16</v>
      </c>
      <c r="G15" s="21">
        <v>29107</v>
      </c>
      <c r="H15" s="22" t="s">
        <v>17</v>
      </c>
      <c r="I15" s="23">
        <v>9</v>
      </c>
      <c r="J15" s="24" t="s">
        <v>68</v>
      </c>
    </row>
    <row r="16" spans="2:10" ht="21" customHeight="1" x14ac:dyDescent="0.4">
      <c r="B16" s="25">
        <v>44802</v>
      </c>
      <c r="C16" s="20">
        <v>0.49572916666666672</v>
      </c>
      <c r="D16" s="21" t="s">
        <v>69</v>
      </c>
      <c r="E16" s="9" t="s">
        <v>22</v>
      </c>
      <c r="F16" s="21" t="s">
        <v>16</v>
      </c>
      <c r="G16" s="21">
        <v>29107</v>
      </c>
      <c r="H16" s="22" t="s">
        <v>17</v>
      </c>
      <c r="I16" s="23">
        <v>18</v>
      </c>
      <c r="J16" s="26" t="s">
        <v>79</v>
      </c>
    </row>
    <row r="17" spans="2:10" ht="21" customHeight="1" x14ac:dyDescent="0.4">
      <c r="B17" s="25">
        <v>44802</v>
      </c>
      <c r="C17" s="20">
        <v>0.49572916666666672</v>
      </c>
      <c r="D17" s="21" t="s">
        <v>69</v>
      </c>
      <c r="E17" s="9" t="s">
        <v>22</v>
      </c>
      <c r="F17" s="21">
        <v>7898211660495</v>
      </c>
      <c r="G17" s="21">
        <v>29904</v>
      </c>
      <c r="H17" s="22" t="s">
        <v>34</v>
      </c>
      <c r="I17" s="23">
        <v>30</v>
      </c>
      <c r="J17" s="26" t="s">
        <v>79</v>
      </c>
    </row>
    <row r="18" spans="2:10" ht="21" customHeight="1" x14ac:dyDescent="0.4">
      <c r="B18" s="25">
        <v>44802</v>
      </c>
      <c r="C18" s="20">
        <v>0.49572916666666672</v>
      </c>
      <c r="D18" s="21" t="s">
        <v>69</v>
      </c>
      <c r="E18" s="9" t="s">
        <v>22</v>
      </c>
      <c r="F18" s="21">
        <v>7898211660495</v>
      </c>
      <c r="G18" s="21">
        <v>29904</v>
      </c>
      <c r="H18" s="22" t="s">
        <v>34</v>
      </c>
      <c r="I18" s="23">
        <v>30</v>
      </c>
      <c r="J18" s="26" t="s">
        <v>79</v>
      </c>
    </row>
    <row r="19" spans="2:10" ht="21" customHeight="1" x14ac:dyDescent="0.4">
      <c r="B19" s="25">
        <v>44804</v>
      </c>
      <c r="C19" s="20">
        <v>0.77800925925925923</v>
      </c>
      <c r="D19" s="21" t="s">
        <v>69</v>
      </c>
      <c r="E19" s="9" t="s">
        <v>22</v>
      </c>
      <c r="F19" s="21" t="s">
        <v>16</v>
      </c>
      <c r="G19" s="21">
        <v>29107</v>
      </c>
      <c r="H19" s="22" t="s">
        <v>17</v>
      </c>
      <c r="I19" s="23">
        <v>1</v>
      </c>
      <c r="J19" s="24" t="s">
        <v>70</v>
      </c>
    </row>
    <row r="20" spans="2:10" ht="14.4" hidden="1" customHeight="1" x14ac:dyDescent="0.3">
      <c r="B20" s="3"/>
      <c r="C20" s="6"/>
      <c r="D20" s="2"/>
      <c r="E20" s="2"/>
      <c r="F20" s="2"/>
      <c r="G20" s="2"/>
      <c r="H20" s="5"/>
      <c r="I20" s="5"/>
      <c r="J20" s="4"/>
    </row>
    <row r="21" spans="2:10" ht="14.4" hidden="1" customHeight="1" x14ac:dyDescent="0.3">
      <c r="B21" s="3"/>
      <c r="C21" s="6"/>
      <c r="D21" s="2"/>
      <c r="E21" s="2"/>
      <c r="F21" s="2"/>
      <c r="G21" s="2"/>
      <c r="H21" s="5"/>
      <c r="I21" s="5"/>
      <c r="J21" s="4"/>
    </row>
    <row r="22" spans="2:10" ht="14.4" hidden="1" customHeight="1" x14ac:dyDescent="0.3">
      <c r="B22" s="3"/>
      <c r="C22" s="6"/>
      <c r="D22" s="2"/>
      <c r="E22" s="2"/>
      <c r="F22" s="2"/>
      <c r="G22" s="2"/>
      <c r="H22" s="5"/>
      <c r="I22" s="5"/>
      <c r="J22" s="4"/>
    </row>
    <row r="23" spans="2:10" ht="14.4" hidden="1" customHeight="1" x14ac:dyDescent="0.3">
      <c r="B23" s="3"/>
      <c r="C23" s="6"/>
      <c r="D23" s="2"/>
      <c r="E23" s="2"/>
      <c r="F23" s="2"/>
      <c r="G23" s="2"/>
      <c r="H23" s="5"/>
      <c r="I23" s="5"/>
      <c r="J23" s="4"/>
    </row>
    <row r="24" spans="2:10" ht="14.4" hidden="1" customHeight="1" x14ac:dyDescent="0.3">
      <c r="B24" s="3"/>
      <c r="C24" s="6"/>
      <c r="D24" s="2"/>
      <c r="E24" s="2"/>
      <c r="F24" s="2"/>
      <c r="G24" s="2"/>
      <c r="H24" s="5"/>
      <c r="I24" s="5"/>
      <c r="J24" s="4"/>
    </row>
    <row r="25" spans="2:10" ht="14.4" hidden="1" customHeight="1" x14ac:dyDescent="0.3">
      <c r="B25" s="3"/>
      <c r="C25" s="6"/>
      <c r="D25" s="2"/>
      <c r="E25" s="2"/>
      <c r="F25" s="2"/>
      <c r="G25" s="2"/>
      <c r="H25" s="5"/>
      <c r="I25" s="5"/>
      <c r="J25" s="4"/>
    </row>
    <row r="26" spans="2:10" ht="14.4" hidden="1" customHeight="1" x14ac:dyDescent="0.3">
      <c r="B26" s="3"/>
      <c r="C26" s="6"/>
      <c r="D26" s="2"/>
      <c r="E26" s="2"/>
      <c r="F26" s="2"/>
      <c r="G26" s="2"/>
      <c r="H26" s="5"/>
      <c r="I26" s="5"/>
      <c r="J26" s="4"/>
    </row>
    <row r="27" spans="2:10" ht="14.4" hidden="1" customHeight="1" x14ac:dyDescent="0.3">
      <c r="B27" s="3"/>
      <c r="C27" s="6"/>
      <c r="D27" s="2"/>
      <c r="E27" s="2"/>
      <c r="F27" s="2"/>
      <c r="G27" s="2"/>
      <c r="H27" s="5"/>
      <c r="I27" s="5"/>
      <c r="J27" s="4"/>
    </row>
    <row r="28" spans="2:10" ht="14.4" hidden="1" customHeight="1" x14ac:dyDescent="0.3">
      <c r="B28" s="3"/>
      <c r="C28" s="6"/>
      <c r="D28" s="2"/>
      <c r="E28" s="2"/>
      <c r="F28" s="2"/>
      <c r="G28" s="2"/>
      <c r="H28" s="5"/>
      <c r="I28" s="5"/>
      <c r="J28" s="4"/>
    </row>
    <row r="29" spans="2:10" ht="14.4" hidden="1" customHeight="1" x14ac:dyDescent="0.3">
      <c r="B29" s="3"/>
      <c r="C29" s="6"/>
      <c r="D29" s="2"/>
      <c r="E29" s="2"/>
      <c r="F29" s="2"/>
      <c r="G29" s="2"/>
      <c r="H29" s="5"/>
      <c r="I29" s="5"/>
      <c r="J29" s="4"/>
    </row>
    <row r="30" spans="2:10" ht="14.4" hidden="1" customHeight="1" x14ac:dyDescent="0.3">
      <c r="B30" s="3"/>
      <c r="C30" s="6"/>
      <c r="D30" s="2"/>
      <c r="E30" s="2"/>
      <c r="F30" s="2"/>
      <c r="G30" s="2"/>
      <c r="H30" s="5"/>
      <c r="I30" s="5"/>
      <c r="J30" s="4"/>
    </row>
    <row r="31" spans="2:10" ht="14.4" hidden="1" customHeight="1" x14ac:dyDescent="0.3">
      <c r="B31" s="3"/>
      <c r="C31" s="6"/>
      <c r="D31" s="2"/>
      <c r="E31" s="2"/>
      <c r="F31" s="2"/>
      <c r="G31" s="2"/>
      <c r="H31" s="5"/>
      <c r="I31" s="5"/>
      <c r="J31" s="4"/>
    </row>
  </sheetData>
  <mergeCells count="1">
    <mergeCell ref="B2:J2"/>
  </mergeCells>
  <conditionalFormatting sqref="I4">
    <cfRule type="cellIs" dxfId="58" priority="82" operator="greaterThan">
      <formula>-1</formula>
    </cfRule>
  </conditionalFormatting>
  <conditionalFormatting sqref="I5">
    <cfRule type="cellIs" dxfId="57" priority="25" operator="greaterThan">
      <formula>-1</formula>
    </cfRule>
  </conditionalFormatting>
  <conditionalFormatting sqref="I6">
    <cfRule type="cellIs" dxfId="56" priority="24" operator="greaterThan">
      <formula>-1</formula>
    </cfRule>
  </conditionalFormatting>
  <conditionalFormatting sqref="I7">
    <cfRule type="cellIs" dxfId="55" priority="22" operator="greaterThan">
      <formula>-1</formula>
    </cfRule>
  </conditionalFormatting>
  <conditionalFormatting sqref="I8">
    <cfRule type="cellIs" dxfId="54" priority="17" operator="greaterThan">
      <formula>-1</formula>
    </cfRule>
  </conditionalFormatting>
  <conditionalFormatting sqref="I9">
    <cfRule type="cellIs" dxfId="53" priority="16" operator="greaterThan">
      <formula>-1</formula>
    </cfRule>
  </conditionalFormatting>
  <conditionalFormatting sqref="I10">
    <cfRule type="cellIs" dxfId="52" priority="15" operator="greaterThan">
      <formula>-1</formula>
    </cfRule>
  </conditionalFormatting>
  <conditionalFormatting sqref="I11">
    <cfRule type="cellIs" dxfId="51" priority="14" operator="greaterThan">
      <formula>-1</formula>
    </cfRule>
  </conditionalFormatting>
  <conditionalFormatting sqref="I12">
    <cfRule type="cellIs" dxfId="50" priority="13" operator="greaterThan">
      <formula>-1</formula>
    </cfRule>
  </conditionalFormatting>
  <conditionalFormatting sqref="I13">
    <cfRule type="cellIs" dxfId="49" priority="12" operator="greaterThan">
      <formula>-1</formula>
    </cfRule>
  </conditionalFormatting>
  <conditionalFormatting sqref="I14">
    <cfRule type="cellIs" dxfId="48" priority="11" operator="greaterThan">
      <formula>-1</formula>
    </cfRule>
  </conditionalFormatting>
  <conditionalFormatting sqref="I15">
    <cfRule type="cellIs" dxfId="47" priority="10" operator="greaterThan">
      <formula>-1</formula>
    </cfRule>
  </conditionalFormatting>
  <conditionalFormatting sqref="I16:I19">
    <cfRule type="cellIs" dxfId="46" priority="1" operator="greaterThan">
      <formula>-1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A0691-989D-4F8B-85A0-911A78DA1115}">
  <sheetPr codeName="Planilha7"/>
  <dimension ref="B1:K49"/>
  <sheetViews>
    <sheetView showGridLines="0" showRowColHeaders="0" topLeftCell="B1" zoomScaleNormal="100" workbookViewId="0">
      <pane ySplit="3" topLeftCell="A4" activePane="bottomLeft" state="frozen"/>
      <selection pane="bottomLeft"/>
    </sheetView>
  </sheetViews>
  <sheetFormatPr defaultColWidth="0" defaultRowHeight="21" customHeight="1" zeroHeight="1" x14ac:dyDescent="0.3"/>
  <cols>
    <col min="1" max="1" width="8.88671875" hidden="1" customWidth="1"/>
    <col min="2" max="3" width="15.5546875" customWidth="1"/>
    <col min="4" max="4" width="16.6640625" customWidth="1"/>
    <col min="5" max="5" width="20" customWidth="1"/>
    <col min="6" max="7" width="20" hidden="1" customWidth="1"/>
    <col min="8" max="8" width="44.44140625" customWidth="1"/>
    <col min="9" max="9" width="13.33203125" customWidth="1"/>
    <col min="10" max="10" width="64.44140625" customWidth="1"/>
    <col min="11" max="11" width="0" hidden="1" customWidth="1"/>
    <col min="12" max="16384" width="8.88671875" hidden="1"/>
  </cols>
  <sheetData>
    <row r="1" spans="2:10" ht="51" customHeight="1" x14ac:dyDescent="0.3">
      <c r="B1" s="14" t="e">
        <f>CONCATENATE("Olá, ",LEFT(actv[],1),LOWER(RIGHT(actv[],LEN(actv[])-1)))</f>
        <v>#VALUE!</v>
      </c>
      <c r="C1" s="15"/>
      <c r="D1" s="15"/>
      <c r="E1" s="15"/>
      <c r="F1" s="15"/>
      <c r="G1" s="15"/>
      <c r="H1" s="15"/>
      <c r="I1" s="15"/>
      <c r="J1" s="15"/>
    </row>
    <row r="2" spans="2:10" ht="48" customHeight="1" x14ac:dyDescent="0.3">
      <c r="B2" s="51"/>
      <c r="C2" s="52"/>
      <c r="D2" s="52"/>
      <c r="E2" s="52"/>
      <c r="F2" s="52"/>
      <c r="G2" s="52"/>
      <c r="H2" s="52"/>
      <c r="I2" s="52"/>
      <c r="J2" s="53"/>
    </row>
    <row r="3" spans="2:10" ht="21" customHeight="1" x14ac:dyDescent="0.3">
      <c r="B3" s="11" t="s">
        <v>11</v>
      </c>
      <c r="C3" s="11" t="s">
        <v>12</v>
      </c>
      <c r="D3" s="11" t="s">
        <v>24</v>
      </c>
      <c r="E3" s="11" t="s">
        <v>15</v>
      </c>
      <c r="F3" s="11" t="s">
        <v>0</v>
      </c>
      <c r="G3" s="11" t="s">
        <v>1</v>
      </c>
      <c r="H3" s="11" t="s">
        <v>2</v>
      </c>
      <c r="I3" s="11" t="s">
        <v>58</v>
      </c>
      <c r="J3" s="11" t="s">
        <v>59</v>
      </c>
    </row>
    <row r="4" spans="2:10" ht="21" customHeight="1" x14ac:dyDescent="0.4">
      <c r="B4" s="7">
        <v>44798</v>
      </c>
      <c r="C4" s="27">
        <v>0.46480324074074075</v>
      </c>
      <c r="D4" s="9" t="s">
        <v>69</v>
      </c>
      <c r="E4" s="9" t="s">
        <v>22</v>
      </c>
      <c r="F4" s="9">
        <v>7898211660501</v>
      </c>
      <c r="G4" s="9">
        <v>29715</v>
      </c>
      <c r="H4" s="10" t="s">
        <v>13</v>
      </c>
      <c r="I4" s="12">
        <v>-1</v>
      </c>
      <c r="J4" s="26" t="s">
        <v>71</v>
      </c>
    </row>
    <row r="5" spans="2:10" ht="21" customHeight="1" x14ac:dyDescent="0.4">
      <c r="B5" s="7">
        <v>44798</v>
      </c>
      <c r="C5" s="27">
        <v>0.47067129629629628</v>
      </c>
      <c r="D5" s="9" t="s">
        <v>69</v>
      </c>
      <c r="E5" s="9" t="s">
        <v>22</v>
      </c>
      <c r="F5" s="9">
        <v>7898211660495</v>
      </c>
      <c r="G5" s="9">
        <v>29904</v>
      </c>
      <c r="H5" s="10" t="s">
        <v>34</v>
      </c>
      <c r="I5" s="12">
        <v>-3</v>
      </c>
      <c r="J5" s="26" t="s">
        <v>71</v>
      </c>
    </row>
    <row r="6" spans="2:10" ht="21" customHeight="1" x14ac:dyDescent="0.4">
      <c r="B6" s="7">
        <v>44798</v>
      </c>
      <c r="C6" s="27">
        <v>0.47067129629629628</v>
      </c>
      <c r="D6" s="9" t="s">
        <v>69</v>
      </c>
      <c r="E6" s="9" t="s">
        <v>22</v>
      </c>
      <c r="F6" s="9" t="s">
        <v>16</v>
      </c>
      <c r="G6" s="9">
        <v>29107</v>
      </c>
      <c r="H6" s="10" t="s">
        <v>17</v>
      </c>
      <c r="I6" s="12">
        <v>-1</v>
      </c>
      <c r="J6" s="26" t="s">
        <v>71</v>
      </c>
    </row>
    <row r="7" spans="2:10" ht="21" customHeight="1" x14ac:dyDescent="0.4">
      <c r="B7" s="7">
        <v>44798</v>
      </c>
      <c r="C7" s="27">
        <v>0.47434027777777782</v>
      </c>
      <c r="D7" s="9" t="s">
        <v>69</v>
      </c>
      <c r="E7" s="9" t="s">
        <v>22</v>
      </c>
      <c r="F7" s="9" t="s">
        <v>16</v>
      </c>
      <c r="G7" s="9">
        <v>29436</v>
      </c>
      <c r="H7" s="10" t="s">
        <v>72</v>
      </c>
      <c r="I7" s="12">
        <v>-1</v>
      </c>
      <c r="J7" s="26" t="s">
        <v>71</v>
      </c>
    </row>
    <row r="8" spans="2:10" ht="21" customHeight="1" x14ac:dyDescent="0.4">
      <c r="B8" s="7">
        <v>44798</v>
      </c>
      <c r="C8" s="27">
        <v>0.47552083333333334</v>
      </c>
      <c r="D8" s="9" t="s">
        <v>69</v>
      </c>
      <c r="E8" s="9" t="s">
        <v>22</v>
      </c>
      <c r="F8" s="9" t="s">
        <v>16</v>
      </c>
      <c r="G8" s="9">
        <v>29106</v>
      </c>
      <c r="H8" s="10" t="s">
        <v>35</v>
      </c>
      <c r="I8" s="12">
        <v>-1</v>
      </c>
      <c r="J8" s="26" t="s">
        <v>73</v>
      </c>
    </row>
    <row r="9" spans="2:10" ht="21" customHeight="1" x14ac:dyDescent="0.4">
      <c r="B9" s="7">
        <v>44798</v>
      </c>
      <c r="C9" s="27">
        <v>0.58140046296296299</v>
      </c>
      <c r="D9" s="9" t="s">
        <v>69</v>
      </c>
      <c r="E9" s="9" t="s">
        <v>22</v>
      </c>
      <c r="F9" s="9" t="s">
        <v>16</v>
      </c>
      <c r="G9" s="9">
        <v>29107</v>
      </c>
      <c r="H9" s="10" t="s">
        <v>17</v>
      </c>
      <c r="I9" s="12">
        <v>-8</v>
      </c>
      <c r="J9" s="26" t="s">
        <v>74</v>
      </c>
    </row>
    <row r="10" spans="2:10" ht="21" customHeight="1" x14ac:dyDescent="0.4">
      <c r="B10" s="7">
        <v>44798</v>
      </c>
      <c r="C10" s="27">
        <v>0.58196759259259256</v>
      </c>
      <c r="D10" s="9" t="s">
        <v>69</v>
      </c>
      <c r="E10" s="9" t="s">
        <v>22</v>
      </c>
      <c r="F10" s="9">
        <v>7898211660679</v>
      </c>
      <c r="G10" s="9">
        <v>29714</v>
      </c>
      <c r="H10" s="10" t="s">
        <v>23</v>
      </c>
      <c r="I10" s="12">
        <v>-5</v>
      </c>
      <c r="J10" s="26" t="s">
        <v>75</v>
      </c>
    </row>
    <row r="11" spans="2:10" ht="21" customHeight="1" x14ac:dyDescent="0.4">
      <c r="B11" s="7">
        <v>44799</v>
      </c>
      <c r="C11" s="27">
        <v>0.4366666666666667</v>
      </c>
      <c r="D11" s="9" t="s">
        <v>69</v>
      </c>
      <c r="E11" s="9" t="s">
        <v>22</v>
      </c>
      <c r="F11" s="9" t="s">
        <v>16</v>
      </c>
      <c r="G11" s="9">
        <v>29107</v>
      </c>
      <c r="H11" s="10" t="s">
        <v>17</v>
      </c>
      <c r="I11" s="12">
        <v>-1</v>
      </c>
      <c r="J11" s="26" t="s">
        <v>71</v>
      </c>
    </row>
    <row r="12" spans="2:10" ht="21" customHeight="1" x14ac:dyDescent="0.4">
      <c r="B12" s="7">
        <v>44799</v>
      </c>
      <c r="C12" s="27">
        <v>0.43844907407407407</v>
      </c>
      <c r="D12" s="9" t="s">
        <v>69</v>
      </c>
      <c r="E12" s="9" t="s">
        <v>22</v>
      </c>
      <c r="F12" s="9" t="s">
        <v>16</v>
      </c>
      <c r="G12" s="9">
        <v>321</v>
      </c>
      <c r="H12" s="10" t="s">
        <v>20</v>
      </c>
      <c r="I12" s="12">
        <v>-1</v>
      </c>
      <c r="J12" s="26" t="s">
        <v>71</v>
      </c>
    </row>
    <row r="13" spans="2:10" ht="21" customHeight="1" x14ac:dyDescent="0.4">
      <c r="B13" s="7">
        <v>44799</v>
      </c>
      <c r="C13" s="27">
        <v>0.43885416666666671</v>
      </c>
      <c r="D13" s="9" t="s">
        <v>69</v>
      </c>
      <c r="E13" s="9" t="s">
        <v>22</v>
      </c>
      <c r="F13" s="9" t="s">
        <v>16</v>
      </c>
      <c r="G13" s="9">
        <v>29107</v>
      </c>
      <c r="H13" s="10" t="s">
        <v>17</v>
      </c>
      <c r="I13" s="12">
        <v>-1</v>
      </c>
      <c r="J13" s="26" t="s">
        <v>71</v>
      </c>
    </row>
    <row r="14" spans="2:10" ht="21" customHeight="1" x14ac:dyDescent="0.4">
      <c r="B14" s="7">
        <v>44799</v>
      </c>
      <c r="C14" s="27">
        <v>0.43906249999999997</v>
      </c>
      <c r="D14" s="9" t="s">
        <v>69</v>
      </c>
      <c r="E14" s="9" t="s">
        <v>22</v>
      </c>
      <c r="F14" s="9" t="s">
        <v>16</v>
      </c>
      <c r="G14" s="9">
        <v>159</v>
      </c>
      <c r="H14" s="10" t="s">
        <v>43</v>
      </c>
      <c r="I14" s="12">
        <v>-1</v>
      </c>
      <c r="J14" s="26" t="s">
        <v>71</v>
      </c>
    </row>
    <row r="15" spans="2:10" ht="21" customHeight="1" x14ac:dyDescent="0.4">
      <c r="B15" s="7">
        <v>44799</v>
      </c>
      <c r="C15" s="27">
        <v>0.44163194444444448</v>
      </c>
      <c r="D15" s="9" t="s">
        <v>69</v>
      </c>
      <c r="E15" s="9" t="s">
        <v>22</v>
      </c>
      <c r="F15" s="9">
        <v>7898211660679</v>
      </c>
      <c r="G15" s="9">
        <v>29714</v>
      </c>
      <c r="H15" s="10" t="s">
        <v>23</v>
      </c>
      <c r="I15" s="12">
        <v>-1</v>
      </c>
      <c r="J15" s="26" t="s">
        <v>71</v>
      </c>
    </row>
    <row r="16" spans="2:10" ht="21" customHeight="1" x14ac:dyDescent="0.4">
      <c r="B16" s="7">
        <v>44799</v>
      </c>
      <c r="C16" s="27">
        <v>0.442349537037037</v>
      </c>
      <c r="D16" s="9" t="s">
        <v>69</v>
      </c>
      <c r="E16" s="9" t="s">
        <v>22</v>
      </c>
      <c r="F16" s="9" t="s">
        <v>16</v>
      </c>
      <c r="G16" s="9">
        <v>29106</v>
      </c>
      <c r="H16" s="10" t="s">
        <v>35</v>
      </c>
      <c r="I16" s="12">
        <v>-1</v>
      </c>
      <c r="J16" s="26" t="s">
        <v>71</v>
      </c>
    </row>
    <row r="17" spans="2:10" ht="21" customHeight="1" x14ac:dyDescent="0.4">
      <c r="B17" s="7">
        <v>44799</v>
      </c>
      <c r="C17" s="27">
        <v>0.44260416666666669</v>
      </c>
      <c r="D17" s="9" t="s">
        <v>69</v>
      </c>
      <c r="E17" s="9" t="s">
        <v>22</v>
      </c>
      <c r="F17" s="9">
        <v>7898211660495</v>
      </c>
      <c r="G17" s="9">
        <v>29904</v>
      </c>
      <c r="H17" s="10" t="s">
        <v>34</v>
      </c>
      <c r="I17" s="12">
        <v>-2</v>
      </c>
      <c r="J17" s="26" t="s">
        <v>71</v>
      </c>
    </row>
    <row r="18" spans="2:10" ht="21" customHeight="1" x14ac:dyDescent="0.4">
      <c r="B18" s="7">
        <v>44799</v>
      </c>
      <c r="C18" s="27">
        <v>0.44601851851851854</v>
      </c>
      <c r="D18" s="9" t="s">
        <v>69</v>
      </c>
      <c r="E18" s="9" t="s">
        <v>22</v>
      </c>
      <c r="F18" s="9" t="s">
        <v>16</v>
      </c>
      <c r="G18" s="9">
        <v>29106</v>
      </c>
      <c r="H18" s="10" t="s">
        <v>35</v>
      </c>
      <c r="I18" s="12">
        <v>-1</v>
      </c>
      <c r="J18" s="26" t="s">
        <v>71</v>
      </c>
    </row>
    <row r="19" spans="2:10" ht="21" customHeight="1" x14ac:dyDescent="0.4">
      <c r="B19" s="7">
        <v>44799</v>
      </c>
      <c r="C19" s="27">
        <v>0.6598032407407407</v>
      </c>
      <c r="D19" s="9" t="s">
        <v>69</v>
      </c>
      <c r="E19" s="9" t="s">
        <v>22</v>
      </c>
      <c r="F19" s="9">
        <v>7898211660051</v>
      </c>
      <c r="G19" s="9">
        <v>317</v>
      </c>
      <c r="H19" s="10" t="s">
        <v>9</v>
      </c>
      <c r="I19" s="12">
        <v>-1</v>
      </c>
      <c r="J19" s="26" t="s">
        <v>71</v>
      </c>
    </row>
    <row r="20" spans="2:10" ht="21" customHeight="1" x14ac:dyDescent="0.4">
      <c r="B20" s="7">
        <v>44799</v>
      </c>
      <c r="C20" s="27">
        <v>0.74436342592592597</v>
      </c>
      <c r="D20" s="9" t="s">
        <v>69</v>
      </c>
      <c r="E20" s="9" t="s">
        <v>22</v>
      </c>
      <c r="F20" s="9" t="s">
        <v>16</v>
      </c>
      <c r="G20" s="9">
        <v>29106</v>
      </c>
      <c r="H20" s="10" t="s">
        <v>35</v>
      </c>
      <c r="I20" s="12">
        <v>-1</v>
      </c>
      <c r="J20" s="26" t="s">
        <v>71</v>
      </c>
    </row>
    <row r="21" spans="2:10" ht="21" customHeight="1" x14ac:dyDescent="0.4">
      <c r="B21" s="7">
        <v>44799</v>
      </c>
      <c r="C21" s="27">
        <v>0.7459027777777778</v>
      </c>
      <c r="D21" s="9" t="s">
        <v>69</v>
      </c>
      <c r="E21" s="9" t="s">
        <v>22</v>
      </c>
      <c r="F21" s="9" t="s">
        <v>16</v>
      </c>
      <c r="G21" s="9">
        <v>29107</v>
      </c>
      <c r="H21" s="10" t="s">
        <v>17</v>
      </c>
      <c r="I21" s="12">
        <v>-1</v>
      </c>
      <c r="J21" s="26" t="s">
        <v>71</v>
      </c>
    </row>
    <row r="22" spans="2:10" ht="21" customHeight="1" x14ac:dyDescent="0.4">
      <c r="B22" s="7">
        <v>44799</v>
      </c>
      <c r="C22" s="27">
        <v>0.74612268518518521</v>
      </c>
      <c r="D22" s="9" t="s">
        <v>69</v>
      </c>
      <c r="E22" s="9" t="s">
        <v>22</v>
      </c>
      <c r="F22" s="9">
        <v>7898211660495</v>
      </c>
      <c r="G22" s="9">
        <v>29904</v>
      </c>
      <c r="H22" s="10" t="s">
        <v>34</v>
      </c>
      <c r="I22" s="12">
        <v>-1</v>
      </c>
      <c r="J22" s="26" t="s">
        <v>71</v>
      </c>
    </row>
    <row r="23" spans="2:10" ht="21" customHeight="1" x14ac:dyDescent="0.4">
      <c r="B23" s="7">
        <v>44799</v>
      </c>
      <c r="C23" s="27">
        <v>0.74712962962962959</v>
      </c>
      <c r="D23" s="9" t="s">
        <v>69</v>
      </c>
      <c r="E23" s="9" t="s">
        <v>22</v>
      </c>
      <c r="F23" s="9" t="s">
        <v>16</v>
      </c>
      <c r="G23" s="9">
        <v>29107</v>
      </c>
      <c r="H23" s="10" t="s">
        <v>17</v>
      </c>
      <c r="I23" s="12">
        <v>-1</v>
      </c>
      <c r="J23" s="26" t="s">
        <v>71</v>
      </c>
    </row>
    <row r="24" spans="2:10" ht="21" customHeight="1" x14ac:dyDescent="0.4">
      <c r="B24" s="7">
        <v>44802</v>
      </c>
      <c r="C24" s="27">
        <v>0.43562499999999998</v>
      </c>
      <c r="D24" s="9" t="s">
        <v>69</v>
      </c>
      <c r="E24" s="9" t="s">
        <v>22</v>
      </c>
      <c r="F24" s="9" t="s">
        <v>16</v>
      </c>
      <c r="G24" s="9">
        <v>29106</v>
      </c>
      <c r="H24" s="10" t="s">
        <v>35</v>
      </c>
      <c r="I24" s="12">
        <v>-1</v>
      </c>
      <c r="J24" s="26" t="s">
        <v>71</v>
      </c>
    </row>
    <row r="25" spans="2:10" ht="21" customHeight="1" x14ac:dyDescent="0.4">
      <c r="B25" s="7">
        <v>44802</v>
      </c>
      <c r="C25" s="27">
        <v>0.43562499999999998</v>
      </c>
      <c r="D25" s="9" t="s">
        <v>69</v>
      </c>
      <c r="E25" s="9" t="s">
        <v>22</v>
      </c>
      <c r="F25" s="9" t="s">
        <v>16</v>
      </c>
      <c r="G25" s="9">
        <v>29107</v>
      </c>
      <c r="H25" s="10" t="s">
        <v>17</v>
      </c>
      <c r="I25" s="12">
        <v>-2</v>
      </c>
      <c r="J25" s="26" t="s">
        <v>71</v>
      </c>
    </row>
    <row r="26" spans="2:10" ht="21" customHeight="1" x14ac:dyDescent="0.4">
      <c r="B26" s="7">
        <v>44802</v>
      </c>
      <c r="C26" s="27">
        <v>0.43562499999999998</v>
      </c>
      <c r="D26" s="9" t="s">
        <v>69</v>
      </c>
      <c r="E26" s="9" t="s">
        <v>22</v>
      </c>
      <c r="F26" s="9">
        <v>7898211660723</v>
      </c>
      <c r="G26" s="9">
        <v>326</v>
      </c>
      <c r="H26" s="10" t="s">
        <v>14</v>
      </c>
      <c r="I26" s="12">
        <v>-1</v>
      </c>
      <c r="J26" s="26" t="s">
        <v>71</v>
      </c>
    </row>
    <row r="27" spans="2:10" ht="21" customHeight="1" x14ac:dyDescent="0.4">
      <c r="B27" s="7">
        <v>44802</v>
      </c>
      <c r="C27" s="27">
        <v>0.4424305555555556</v>
      </c>
      <c r="D27" s="9" t="s">
        <v>69</v>
      </c>
      <c r="E27" s="9" t="s">
        <v>22</v>
      </c>
      <c r="F27" s="9" t="s">
        <v>16</v>
      </c>
      <c r="G27" s="9">
        <v>29107</v>
      </c>
      <c r="H27" s="10" t="s">
        <v>17</v>
      </c>
      <c r="I27" s="12">
        <v>-1</v>
      </c>
      <c r="J27" s="26" t="s">
        <v>71</v>
      </c>
    </row>
    <row r="28" spans="2:10" ht="21" customHeight="1" x14ac:dyDescent="0.4">
      <c r="B28" s="7">
        <v>44802</v>
      </c>
      <c r="C28" s="27">
        <v>0.44324074074074077</v>
      </c>
      <c r="D28" s="9" t="s">
        <v>69</v>
      </c>
      <c r="E28" s="9" t="s">
        <v>22</v>
      </c>
      <c r="F28" s="9" t="s">
        <v>16</v>
      </c>
      <c r="G28" s="9">
        <v>29901</v>
      </c>
      <c r="H28" s="10" t="s">
        <v>36</v>
      </c>
      <c r="I28" s="12">
        <v>-1</v>
      </c>
      <c r="J28" s="26" t="s">
        <v>71</v>
      </c>
    </row>
    <row r="29" spans="2:10" ht="21" customHeight="1" x14ac:dyDescent="0.4">
      <c r="B29" s="7">
        <v>44802</v>
      </c>
      <c r="C29" s="27">
        <v>0.44324074074074077</v>
      </c>
      <c r="D29" s="9" t="s">
        <v>69</v>
      </c>
      <c r="E29" s="9" t="s">
        <v>22</v>
      </c>
      <c r="F29" s="9" t="s">
        <v>16</v>
      </c>
      <c r="G29" s="9">
        <v>29902</v>
      </c>
      <c r="H29" s="10" t="s">
        <v>37</v>
      </c>
      <c r="I29" s="12">
        <v>-1</v>
      </c>
      <c r="J29" s="26" t="s">
        <v>71</v>
      </c>
    </row>
    <row r="30" spans="2:10" ht="21" customHeight="1" x14ac:dyDescent="0.4">
      <c r="B30" s="7">
        <v>44802</v>
      </c>
      <c r="C30" s="27">
        <v>0.45673611111111106</v>
      </c>
      <c r="D30" s="9" t="s">
        <v>69</v>
      </c>
      <c r="E30" s="9" t="s">
        <v>22</v>
      </c>
      <c r="F30" s="9">
        <v>7898211660563</v>
      </c>
      <c r="G30" s="9">
        <v>29712</v>
      </c>
      <c r="H30" s="10" t="s">
        <v>42</v>
      </c>
      <c r="I30" s="12">
        <v>-1</v>
      </c>
      <c r="J30" s="26" t="s">
        <v>71</v>
      </c>
    </row>
    <row r="31" spans="2:10" ht="21" customHeight="1" x14ac:dyDescent="0.4">
      <c r="B31" s="7">
        <v>44802</v>
      </c>
      <c r="C31" s="27">
        <v>0.49986111111111109</v>
      </c>
      <c r="D31" s="9" t="s">
        <v>69</v>
      </c>
      <c r="E31" s="9" t="s">
        <v>22</v>
      </c>
      <c r="F31" s="9">
        <v>7898211660495</v>
      </c>
      <c r="G31" s="9">
        <v>29904</v>
      </c>
      <c r="H31" s="10" t="s">
        <v>34</v>
      </c>
      <c r="I31" s="12">
        <v>-1</v>
      </c>
      <c r="J31" s="26" t="s">
        <v>80</v>
      </c>
    </row>
    <row r="32" spans="2:10" ht="21" customHeight="1" x14ac:dyDescent="0.4">
      <c r="B32" s="7">
        <v>44802</v>
      </c>
      <c r="C32" s="27">
        <v>0.76030092592592602</v>
      </c>
      <c r="D32" s="9" t="s">
        <v>69</v>
      </c>
      <c r="E32" s="9" t="s">
        <v>22</v>
      </c>
      <c r="F32" s="9">
        <v>7898211660495</v>
      </c>
      <c r="G32" s="9">
        <v>29904</v>
      </c>
      <c r="H32" s="10" t="s">
        <v>34</v>
      </c>
      <c r="I32" s="12">
        <v>-9</v>
      </c>
      <c r="J32" s="26" t="s">
        <v>81</v>
      </c>
    </row>
    <row r="33" spans="2:10" ht="21" customHeight="1" x14ac:dyDescent="0.4">
      <c r="B33" s="7">
        <v>44802</v>
      </c>
      <c r="C33" s="27">
        <v>0.76090277777777782</v>
      </c>
      <c r="D33" s="9" t="s">
        <v>69</v>
      </c>
      <c r="E33" s="9" t="s">
        <v>22</v>
      </c>
      <c r="F33" s="9" t="s">
        <v>16</v>
      </c>
      <c r="G33" s="9">
        <v>29107</v>
      </c>
      <c r="H33" s="10" t="s">
        <v>17</v>
      </c>
      <c r="I33" s="12">
        <v>-19</v>
      </c>
      <c r="J33" s="26" t="s">
        <v>80</v>
      </c>
    </row>
    <row r="34" spans="2:10" ht="21" customHeight="1" x14ac:dyDescent="0.4">
      <c r="B34" s="7">
        <v>44803</v>
      </c>
      <c r="C34" s="27">
        <v>0.38489583333333338</v>
      </c>
      <c r="D34" s="9" t="s">
        <v>69</v>
      </c>
      <c r="E34" s="9" t="s">
        <v>22</v>
      </c>
      <c r="F34" s="9" t="s">
        <v>16</v>
      </c>
      <c r="G34" s="9">
        <v>29107</v>
      </c>
      <c r="H34" s="10" t="s">
        <v>17</v>
      </c>
      <c r="I34" s="12">
        <v>-3</v>
      </c>
      <c r="J34" s="26" t="s">
        <v>71</v>
      </c>
    </row>
    <row r="35" spans="2:10" ht="21" customHeight="1" x14ac:dyDescent="0.4">
      <c r="B35" s="7">
        <v>44803</v>
      </c>
      <c r="C35" s="27">
        <v>0.38489583333333338</v>
      </c>
      <c r="D35" s="9" t="s">
        <v>69</v>
      </c>
      <c r="E35" s="9" t="s">
        <v>22</v>
      </c>
      <c r="F35" s="9">
        <v>7898211660495</v>
      </c>
      <c r="G35" s="9">
        <v>29904</v>
      </c>
      <c r="H35" s="10" t="s">
        <v>34</v>
      </c>
      <c r="I35" s="12">
        <v>-1</v>
      </c>
      <c r="J35" s="26" t="s">
        <v>71</v>
      </c>
    </row>
    <row r="36" spans="2:10" ht="21" customHeight="1" x14ac:dyDescent="0.4">
      <c r="B36" s="7">
        <v>44803</v>
      </c>
      <c r="C36" s="27">
        <v>0.38489583333333338</v>
      </c>
      <c r="D36" s="9" t="s">
        <v>69</v>
      </c>
      <c r="E36" s="9" t="s">
        <v>22</v>
      </c>
      <c r="F36" s="9" t="s">
        <v>16</v>
      </c>
      <c r="G36" s="9">
        <v>29106</v>
      </c>
      <c r="H36" s="10" t="s">
        <v>35</v>
      </c>
      <c r="I36" s="12">
        <v>-1</v>
      </c>
      <c r="J36" s="26" t="s">
        <v>71</v>
      </c>
    </row>
    <row r="37" spans="2:10" ht="21" customHeight="1" x14ac:dyDescent="0.4">
      <c r="B37" s="7">
        <v>44803</v>
      </c>
      <c r="C37" s="27">
        <v>0.38670138888888889</v>
      </c>
      <c r="D37" s="9" t="s">
        <v>69</v>
      </c>
      <c r="E37" s="9" t="s">
        <v>22</v>
      </c>
      <c r="F37" s="9">
        <v>7898211660495</v>
      </c>
      <c r="G37" s="9">
        <v>29904</v>
      </c>
      <c r="H37" s="10" t="s">
        <v>34</v>
      </c>
      <c r="I37" s="12">
        <v>-1</v>
      </c>
      <c r="J37" s="26" t="s">
        <v>71</v>
      </c>
    </row>
    <row r="38" spans="2:10" ht="21" customHeight="1" x14ac:dyDescent="0.4">
      <c r="B38" s="7">
        <v>44803</v>
      </c>
      <c r="C38" s="27">
        <v>0.47627314814814814</v>
      </c>
      <c r="D38" s="9" t="s">
        <v>69</v>
      </c>
      <c r="E38" s="9" t="s">
        <v>22</v>
      </c>
      <c r="F38" s="9">
        <v>7898211660051</v>
      </c>
      <c r="G38" s="9">
        <v>317</v>
      </c>
      <c r="H38" s="10" t="s">
        <v>9</v>
      </c>
      <c r="I38" s="12">
        <v>-1</v>
      </c>
      <c r="J38" s="26" t="s">
        <v>73</v>
      </c>
    </row>
    <row r="39" spans="2:10" ht="21" customHeight="1" x14ac:dyDescent="0.4">
      <c r="B39" s="7">
        <v>44803</v>
      </c>
      <c r="C39" s="27">
        <v>0.47627314814814814</v>
      </c>
      <c r="D39" s="9" t="s">
        <v>69</v>
      </c>
      <c r="E39" s="9" t="s">
        <v>22</v>
      </c>
      <c r="F39" s="9" t="s">
        <v>16</v>
      </c>
      <c r="G39" s="9">
        <v>29107</v>
      </c>
      <c r="H39" s="10" t="s">
        <v>17</v>
      </c>
      <c r="I39" s="12">
        <v>-1</v>
      </c>
      <c r="J39" s="26" t="s">
        <v>73</v>
      </c>
    </row>
    <row r="40" spans="2:10" ht="21" customHeight="1" x14ac:dyDescent="0.4">
      <c r="B40" s="7">
        <v>44803</v>
      </c>
      <c r="C40" s="27">
        <v>0.64156250000000004</v>
      </c>
      <c r="D40" s="9" t="s">
        <v>69</v>
      </c>
      <c r="E40" s="9" t="s">
        <v>22</v>
      </c>
      <c r="F40" s="9" t="s">
        <v>16</v>
      </c>
      <c r="G40" s="9">
        <v>29107</v>
      </c>
      <c r="H40" s="10" t="s">
        <v>17</v>
      </c>
      <c r="I40" s="12">
        <v>-1</v>
      </c>
      <c r="J40" s="26" t="s">
        <v>71</v>
      </c>
    </row>
    <row r="41" spans="2:10" ht="21" customHeight="1" x14ac:dyDescent="0.4">
      <c r="B41" s="7">
        <v>44803</v>
      </c>
      <c r="C41" s="27">
        <v>0.64156250000000004</v>
      </c>
      <c r="D41" s="9" t="s">
        <v>69</v>
      </c>
      <c r="E41" s="9" t="s">
        <v>22</v>
      </c>
      <c r="F41" s="9">
        <v>7898211660495</v>
      </c>
      <c r="G41" s="9">
        <v>29904</v>
      </c>
      <c r="H41" s="10" t="s">
        <v>34</v>
      </c>
      <c r="I41" s="12">
        <v>-1</v>
      </c>
      <c r="J41" s="26" t="s">
        <v>71</v>
      </c>
    </row>
    <row r="42" spans="2:10" ht="21" customHeight="1" x14ac:dyDescent="0.4">
      <c r="B42" s="7">
        <v>44803</v>
      </c>
      <c r="C42" s="27">
        <v>0.64156250000000004</v>
      </c>
      <c r="D42" s="9" t="s">
        <v>69</v>
      </c>
      <c r="E42" s="9" t="s">
        <v>22</v>
      </c>
      <c r="F42" s="9">
        <v>7898211660877</v>
      </c>
      <c r="G42" s="9">
        <v>333</v>
      </c>
      <c r="H42" s="10" t="s">
        <v>10</v>
      </c>
      <c r="I42" s="12">
        <v>-1</v>
      </c>
      <c r="J42" s="26" t="s">
        <v>71</v>
      </c>
    </row>
    <row r="43" spans="2:10" ht="21" customHeight="1" x14ac:dyDescent="0.4">
      <c r="B43" s="7">
        <v>44803</v>
      </c>
      <c r="C43" s="27">
        <v>0.64156250000000004</v>
      </c>
      <c r="D43" s="9" t="s">
        <v>69</v>
      </c>
      <c r="E43" s="9" t="s">
        <v>22</v>
      </c>
      <c r="F43" s="9">
        <v>7898211660518</v>
      </c>
      <c r="G43" s="9">
        <v>29720</v>
      </c>
      <c r="H43" s="10" t="s">
        <v>40</v>
      </c>
      <c r="I43" s="12">
        <v>-1</v>
      </c>
      <c r="J43" s="26" t="s">
        <v>71</v>
      </c>
    </row>
    <row r="44" spans="2:10" ht="21" customHeight="1" x14ac:dyDescent="0.4">
      <c r="B44" s="7">
        <v>44803</v>
      </c>
      <c r="C44" s="27">
        <v>0.64156250000000004</v>
      </c>
      <c r="D44" s="9" t="s">
        <v>69</v>
      </c>
      <c r="E44" s="9" t="s">
        <v>22</v>
      </c>
      <c r="F44" s="9">
        <v>7898211660501</v>
      </c>
      <c r="G44" s="9">
        <v>29715</v>
      </c>
      <c r="H44" s="10" t="s">
        <v>13</v>
      </c>
      <c r="I44" s="12">
        <v>-1</v>
      </c>
      <c r="J44" s="26" t="s">
        <v>71</v>
      </c>
    </row>
    <row r="45" spans="2:10" ht="21" customHeight="1" x14ac:dyDescent="0.4">
      <c r="B45" s="7">
        <v>44803</v>
      </c>
      <c r="C45" s="27">
        <v>0.64156250000000004</v>
      </c>
      <c r="D45" s="9" t="s">
        <v>69</v>
      </c>
      <c r="E45" s="9" t="s">
        <v>22</v>
      </c>
      <c r="F45" s="9" t="s">
        <v>16</v>
      </c>
      <c r="G45" s="9">
        <v>29901</v>
      </c>
      <c r="H45" s="10" t="s">
        <v>36</v>
      </c>
      <c r="I45" s="12">
        <v>-1</v>
      </c>
      <c r="J45" s="26" t="s">
        <v>71</v>
      </c>
    </row>
    <row r="46" spans="2:10" ht="21" customHeight="1" x14ac:dyDescent="0.4">
      <c r="B46" s="7">
        <v>44803</v>
      </c>
      <c r="C46" s="27">
        <v>0.64156250000000004</v>
      </c>
      <c r="D46" s="9" t="s">
        <v>69</v>
      </c>
      <c r="E46" s="9" t="s">
        <v>22</v>
      </c>
      <c r="F46" s="9" t="s">
        <v>16</v>
      </c>
      <c r="G46" s="9">
        <v>29902</v>
      </c>
      <c r="H46" s="10" t="s">
        <v>37</v>
      </c>
      <c r="I46" s="12">
        <v>-1</v>
      </c>
      <c r="J46" s="26" t="s">
        <v>71</v>
      </c>
    </row>
    <row r="47" spans="2:10" ht="21" customHeight="1" x14ac:dyDescent="0.4">
      <c r="B47" s="7">
        <v>44804</v>
      </c>
      <c r="C47" s="27">
        <v>0.58614583333333337</v>
      </c>
      <c r="D47" s="9" t="s">
        <v>69</v>
      </c>
      <c r="E47" s="9" t="s">
        <v>22</v>
      </c>
      <c r="F47" s="9">
        <v>7898211660518</v>
      </c>
      <c r="G47" s="9">
        <v>29720</v>
      </c>
      <c r="H47" s="10" t="s">
        <v>40</v>
      </c>
      <c r="I47" s="12">
        <v>-1</v>
      </c>
      <c r="J47" s="26" t="s">
        <v>71</v>
      </c>
    </row>
    <row r="48" spans="2:10" ht="21" customHeight="1" x14ac:dyDescent="0.4">
      <c r="B48" s="7">
        <v>44804</v>
      </c>
      <c r="C48" s="27">
        <v>0.58614583333333337</v>
      </c>
      <c r="D48" s="9" t="s">
        <v>69</v>
      </c>
      <c r="E48" s="9" t="s">
        <v>22</v>
      </c>
      <c r="F48" s="9">
        <v>7898211660495</v>
      </c>
      <c r="G48" s="9">
        <v>29904</v>
      </c>
      <c r="H48" s="10" t="s">
        <v>34</v>
      </c>
      <c r="I48" s="12">
        <v>-2</v>
      </c>
      <c r="J48" s="26" t="s">
        <v>71</v>
      </c>
    </row>
    <row r="49" spans="2:10" ht="21" customHeight="1" x14ac:dyDescent="0.4">
      <c r="B49" s="7">
        <v>44804</v>
      </c>
      <c r="C49" s="27">
        <v>0.58614583333333337</v>
      </c>
      <c r="D49" s="9" t="s">
        <v>69</v>
      </c>
      <c r="E49" s="9" t="s">
        <v>22</v>
      </c>
      <c r="F49" s="9" t="s">
        <v>16</v>
      </c>
      <c r="G49" s="9">
        <v>29106</v>
      </c>
      <c r="H49" s="10" t="s">
        <v>35</v>
      </c>
      <c r="I49" s="12">
        <v>-1</v>
      </c>
      <c r="J49" s="26" t="s">
        <v>71</v>
      </c>
    </row>
  </sheetData>
  <mergeCells count="1">
    <mergeCell ref="B2:J2"/>
  </mergeCells>
  <conditionalFormatting sqref="I42">
    <cfRule type="cellIs" dxfId="45" priority="8" operator="lessThan">
      <formula>0</formula>
    </cfRule>
  </conditionalFormatting>
  <conditionalFormatting sqref="I44">
    <cfRule type="cellIs" dxfId="44" priority="6" operator="lessThan">
      <formula>0</formula>
    </cfRule>
  </conditionalFormatting>
  <conditionalFormatting sqref="I45">
    <cfRule type="cellIs" dxfId="43" priority="5" operator="lessThan">
      <formula>0</formula>
    </cfRule>
  </conditionalFormatting>
  <conditionalFormatting sqref="I46">
    <cfRule type="cellIs" dxfId="42" priority="4" operator="lessThan">
      <formula>0</formula>
    </cfRule>
  </conditionalFormatting>
  <conditionalFormatting sqref="I47">
    <cfRule type="cellIs" dxfId="41" priority="3" operator="lessThan">
      <formula>0</formula>
    </cfRule>
  </conditionalFormatting>
  <conditionalFormatting sqref="I48">
    <cfRule type="cellIs" dxfId="40" priority="2" operator="lessThan">
      <formula>0</formula>
    </cfRule>
  </conditionalFormatting>
  <conditionalFormatting sqref="I49">
    <cfRule type="cellIs" dxfId="39" priority="1" operator="lessThan">
      <formula>0</formula>
    </cfRule>
  </conditionalFormatting>
  <conditionalFormatting sqref="I4:I49">
    <cfRule type="cellIs" dxfId="38" priority="46" operator="lessThan">
      <formula>0</formula>
    </cfRule>
  </conditionalFormatting>
  <conditionalFormatting sqref="I5">
    <cfRule type="cellIs" dxfId="37" priority="45" operator="lessThan">
      <formula>0</formula>
    </cfRule>
  </conditionalFormatting>
  <conditionalFormatting sqref="I6">
    <cfRule type="cellIs" dxfId="36" priority="44" operator="lessThan">
      <formula>0</formula>
    </cfRule>
  </conditionalFormatting>
  <conditionalFormatting sqref="I7">
    <cfRule type="cellIs" dxfId="35" priority="43" operator="lessThan">
      <formula>0</formula>
    </cfRule>
  </conditionalFormatting>
  <conditionalFormatting sqref="I8">
    <cfRule type="cellIs" dxfId="34" priority="42" operator="lessThan">
      <formula>0</formula>
    </cfRule>
  </conditionalFormatting>
  <conditionalFormatting sqref="I9">
    <cfRule type="cellIs" dxfId="33" priority="41" operator="lessThan">
      <formula>0</formula>
    </cfRule>
  </conditionalFormatting>
  <conditionalFormatting sqref="I10">
    <cfRule type="cellIs" dxfId="32" priority="40" operator="lessThan">
      <formula>0</formula>
    </cfRule>
  </conditionalFormatting>
  <conditionalFormatting sqref="I11">
    <cfRule type="cellIs" dxfId="31" priority="39" operator="lessThan">
      <formula>0</formula>
    </cfRule>
  </conditionalFormatting>
  <conditionalFormatting sqref="I12">
    <cfRule type="cellIs" dxfId="30" priority="38" operator="lessThan">
      <formula>0</formula>
    </cfRule>
  </conditionalFormatting>
  <conditionalFormatting sqref="I13">
    <cfRule type="cellIs" dxfId="29" priority="37" operator="lessThan">
      <formula>0</formula>
    </cfRule>
  </conditionalFormatting>
  <conditionalFormatting sqref="I14">
    <cfRule type="cellIs" dxfId="28" priority="36" operator="lessThan">
      <formula>0</formula>
    </cfRule>
  </conditionalFormatting>
  <conditionalFormatting sqref="I15">
    <cfRule type="cellIs" dxfId="27" priority="35" operator="lessThan">
      <formula>0</formula>
    </cfRule>
  </conditionalFormatting>
  <conditionalFormatting sqref="I16">
    <cfRule type="cellIs" dxfId="26" priority="34" operator="lessThan">
      <formula>0</formula>
    </cfRule>
  </conditionalFormatting>
  <conditionalFormatting sqref="I17">
    <cfRule type="cellIs" dxfId="25" priority="33" operator="lessThan">
      <formula>0</formula>
    </cfRule>
  </conditionalFormatting>
  <conditionalFormatting sqref="I18">
    <cfRule type="cellIs" dxfId="24" priority="32" operator="lessThan">
      <formula>0</formula>
    </cfRule>
  </conditionalFormatting>
  <conditionalFormatting sqref="I19">
    <cfRule type="cellIs" dxfId="23" priority="31" operator="lessThan">
      <formula>0</formula>
    </cfRule>
  </conditionalFormatting>
  <conditionalFormatting sqref="I20">
    <cfRule type="cellIs" dxfId="22" priority="30" operator="lessThan">
      <formula>0</formula>
    </cfRule>
  </conditionalFormatting>
  <conditionalFormatting sqref="I21">
    <cfRule type="cellIs" dxfId="21" priority="29" operator="lessThan">
      <formula>0</formula>
    </cfRule>
  </conditionalFormatting>
  <conditionalFormatting sqref="I22">
    <cfRule type="cellIs" dxfId="20" priority="28" operator="lessThan">
      <formula>0</formula>
    </cfRule>
  </conditionalFormatting>
  <conditionalFormatting sqref="I23">
    <cfRule type="cellIs" dxfId="19" priority="27" operator="lessThan">
      <formula>0</formula>
    </cfRule>
  </conditionalFormatting>
  <conditionalFormatting sqref="I24">
    <cfRule type="cellIs" dxfId="18" priority="26" operator="lessThan">
      <formula>0</formula>
    </cfRule>
  </conditionalFormatting>
  <conditionalFormatting sqref="I25">
    <cfRule type="cellIs" dxfId="17" priority="25" operator="lessThan">
      <formula>0</formula>
    </cfRule>
  </conditionalFormatting>
  <conditionalFormatting sqref="I26">
    <cfRule type="cellIs" dxfId="16" priority="24" operator="lessThan">
      <formula>0</formula>
    </cfRule>
  </conditionalFormatting>
  <conditionalFormatting sqref="I27">
    <cfRule type="cellIs" dxfId="15" priority="23" operator="lessThan">
      <formula>0</formula>
    </cfRule>
  </conditionalFormatting>
  <conditionalFormatting sqref="I28">
    <cfRule type="cellIs" dxfId="14" priority="22" operator="lessThan">
      <formula>0</formula>
    </cfRule>
  </conditionalFormatting>
  <conditionalFormatting sqref="I29">
    <cfRule type="cellIs" dxfId="13" priority="21" operator="lessThan">
      <formula>0</formula>
    </cfRule>
  </conditionalFormatting>
  <conditionalFormatting sqref="I30">
    <cfRule type="cellIs" dxfId="12" priority="20" operator="lessThan">
      <formula>0</formula>
    </cfRule>
  </conditionalFormatting>
  <conditionalFormatting sqref="I31">
    <cfRule type="cellIs" dxfId="11" priority="19" operator="lessThan">
      <formula>0</formula>
    </cfRule>
  </conditionalFormatting>
  <conditionalFormatting sqref="I32">
    <cfRule type="cellIs" dxfId="10" priority="18" operator="lessThan">
      <formula>0</formula>
    </cfRule>
  </conditionalFormatting>
  <conditionalFormatting sqref="I33">
    <cfRule type="cellIs" dxfId="9" priority="17" operator="lessThan">
      <formula>0</formula>
    </cfRule>
  </conditionalFormatting>
  <conditionalFormatting sqref="I34">
    <cfRule type="cellIs" dxfId="8" priority="16" operator="lessThan">
      <formula>0</formula>
    </cfRule>
  </conditionalFormatting>
  <conditionalFormatting sqref="I35">
    <cfRule type="cellIs" dxfId="7" priority="15" operator="lessThan">
      <formula>0</formula>
    </cfRule>
  </conditionalFormatting>
  <conditionalFormatting sqref="I36">
    <cfRule type="cellIs" dxfId="6" priority="14" operator="lessThan">
      <formula>0</formula>
    </cfRule>
  </conditionalFormatting>
  <conditionalFormatting sqref="I37">
    <cfRule type="cellIs" dxfId="5" priority="13" operator="lessThan">
      <formula>0</formula>
    </cfRule>
  </conditionalFormatting>
  <conditionalFormatting sqref="I38">
    <cfRule type="cellIs" dxfId="4" priority="12" operator="lessThan">
      <formula>0</formula>
    </cfRule>
  </conditionalFormatting>
  <conditionalFormatting sqref="I39">
    <cfRule type="cellIs" dxfId="3" priority="11" operator="lessThan">
      <formula>0</formula>
    </cfRule>
  </conditionalFormatting>
  <conditionalFormatting sqref="I40">
    <cfRule type="cellIs" dxfId="2" priority="10" operator="lessThan">
      <formula>0</formula>
    </cfRule>
  </conditionalFormatting>
  <conditionalFormatting sqref="I41">
    <cfRule type="cellIs" dxfId="1" priority="9" operator="lessThan">
      <formula>0</formula>
    </cfRule>
  </conditionalFormatting>
  <conditionalFormatting sqref="I43">
    <cfRule type="cellIs" dxfId="0" priority="7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225E73-04AD-4A14-ADB7-951D1BD6BA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7" baseType="lpstr">
      <vt:lpstr>Acesso</vt:lpstr>
      <vt:lpstr>cadNovo!usersList</vt:lpstr>
      <vt:lpstr>Entrada!usersList</vt:lpstr>
      <vt:lpstr>Estoque!usersList</vt:lpstr>
      <vt:lpstr>Saida!usersList</vt:lpstr>
      <vt:lpstr>usersList</vt:lpstr>
      <vt:lpstr>Acesso!view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cp:lastPrinted>2022-08-01T17:49:28Z</cp:lastPrinted>
  <dcterms:created xsi:type="dcterms:W3CDTF">2022-07-02T12:08:15Z</dcterms:created>
  <dcterms:modified xsi:type="dcterms:W3CDTF">2022-09-14T15:10:16Z</dcterms:modified>
</cp:coreProperties>
</file>