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AB98AC63-0EE7-4204-803E-3EBBA5310958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activeTab="1" xr2:uid="{00000000-000D-0000-FFFF-FFFF00000000}"/>
  </bookViews>
  <sheets>
    <sheet name="Acesso" sheetId="4" r:id="rId1"/>
    <sheet name="empty" sheetId="5" r:id="rId2"/>
    <sheet name="Usuarios" sheetId="3" state="veryHidden" r:id="rId3"/>
    <sheet name="Cadastro" sheetId="8" state="veryHidden" r:id="rId4"/>
    <sheet name="Estoque" sheetId="9" state="veryHidden" r:id="rId5"/>
    <sheet name="Lista" sheetId="10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_xlnm.Print_Area" localSheetId="5">Lista!$B$1:$E$3</definedName>
    <definedName name="usersList" localSheetId="3">users[id]</definedName>
    <definedName name="usersList" localSheetId="7">users[id]</definedName>
    <definedName name="usersList" localSheetId="4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7"/>
  <c r="B1" i="6"/>
  <c r="B1" i="9"/>
  <c r="B1" i="8"/>
  <c r="J5" i="3"/>
</calcChain>
</file>

<file path=xl/sharedStrings.xml><?xml version="1.0" encoding="utf-8"?>
<sst xmlns="http://schemas.openxmlformats.org/spreadsheetml/2006/main" count="53" uniqueCount="29">
  <si>
    <t>CODIGO DE BARRAS</t>
  </si>
  <si>
    <t>CODIGO INTERNO</t>
  </si>
  <si>
    <t>PRODUTO</t>
  </si>
  <si>
    <t>QUANTIDADE</t>
  </si>
  <si>
    <t>ESTOQUE</t>
  </si>
  <si>
    <t>DATA</t>
  </si>
  <si>
    <t>HORA</t>
  </si>
  <si>
    <t>CODIGO HERDEIRO</t>
  </si>
  <si>
    <t>USUARIO</t>
  </si>
  <si>
    <t>id</t>
  </si>
  <si>
    <t>admin</t>
  </si>
  <si>
    <t>password</t>
  </si>
  <si>
    <t>ativo</t>
  </si>
  <si>
    <t>ENTRADA</t>
  </si>
  <si>
    <t>MOTIVO DA ENTRADA</t>
  </si>
  <si>
    <t>TIPO</t>
  </si>
  <si>
    <t>OBSERVAÇÕES</t>
  </si>
  <si>
    <t>Nº</t>
  </si>
  <si>
    <t>SAIDA</t>
  </si>
  <si>
    <t>MOTIVO DA RETIRADA</t>
  </si>
  <si>
    <t>Bem Vindo, Administrador</t>
  </si>
  <si>
    <t>LIMITE DE ESTOQUE</t>
  </si>
  <si>
    <t>STATUS</t>
  </si>
  <si>
    <t>LIMITE</t>
  </si>
  <si>
    <t>CODIGO</t>
  </si>
  <si>
    <t>COMPRA MINIMA</t>
  </si>
  <si>
    <t>RECOMENDADO</t>
  </si>
  <si>
    <t>acesso</t>
  </si>
  <si>
    <t>ultimo acesso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</si>
</sst>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\+\ 0;[Red]\-_.\ 0"/>
    <numFmt numFmtId="165" formatCode="h:mm:ss"/>
    <numFmt numFmtId="166" formatCode=";;;&quot;********&quot;"/>
    <numFmt numFmtId="167" formatCode="&quot;********&quot;;&quot;********&quot;;&quot;********&quot;;&quot;********&quot;"/>
    <numFmt numFmtId="168" formatCode="m/d/yyyy"/>
  </numFmts>
  <fonts count="1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Segoe UI"/>
      <family val="2"/>
    </font>
    <font>
      <b/>
      <sz val="16"/>
      <color theme="1"/>
      <name val="Century Gothic"/>
      <family val="2"/>
    </font>
    <font>
      <sz val="11"/>
      <name val="Calibri"/>
      <family val="2"/>
      <scheme val="minor"/>
    </font>
    <font>
      <sz val="12"/>
      <color theme="1"/>
      <name val="Segoe UI"/>
      <family val="2"/>
    </font>
    <font>
      <sz val="12"/>
      <name val="Segoe UI"/>
      <family val="2"/>
    </font>
    <font>
      <sz val="12"/>
      <color theme="1"/>
      <name val="Segoe UI Light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  <border>
      <left style="thin">
        <color theme="1" tint="0.14993743705557422"/>
      </left>
      <right/>
      <top style="thin">
        <color theme="1" tint="0.14993743705557422"/>
      </top>
      <bottom style="thin">
        <color theme="1" tint="0.14993743705557422"/>
      </bottom>
      <diagonal/>
    </border>
    <border>
      <left/>
      <right/>
      <top style="thin">
        <color theme="1" tint="0.14993743705557422"/>
      </top>
      <bottom style="thin">
        <color theme="1" tint="0.14993743705557422"/>
      </bottom>
      <diagonal/>
    </border>
    <border>
      <left/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14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indent="1"/>
    </xf>
    <xf numFmtId="0" fontId="2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3" borderId="0" xfId="0" applyFont="1" applyFill="1" applyAlignment="1">
      <alignment vertical="top"/>
    </xf>
    <xf numFmtId="0" fontId="5" fillId="3" borderId="0" xfId="0" applyFont="1" applyFill="1"/>
    <xf numFmtId="0" fontId="0" fillId="4" borderId="0" xfId="0" applyFill="1"/>
    <xf numFmtId="49" fontId="3" fillId="9" borderId="0" xfId="0" applyNumberFormat="1" applyFont="1" applyFill="1" applyAlignment="1">
      <alignment horizontal="left" indent="1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5" fillId="12" borderId="0" xfId="0" applyFont="1" applyFill="1"/>
    <xf numFmtId="0" fontId="4" fillId="13" borderId="0" xfId="0" applyFont="1" applyFill="1" applyAlignment="1">
      <alignment horizontal="left" vertical="center" indent="3"/>
    </xf>
    <xf numFmtId="0" fontId="6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indent="1"/>
    </xf>
    <xf numFmtId="1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left" vertical="center" indent="1"/>
    </xf>
    <xf numFmtId="168" fontId="3" fillId="0" borderId="0" xfId="0" applyNumberFormat="1" applyFont="1" applyAlignment="1">
      <alignment horizontal="center"/>
    </xf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4" fillId="2" borderId="8" xfId="0" applyFont="1" applyFill="1" applyBorder="1" applyAlignment="1">
      <alignment horizontal="left" vertical="center" indent="3"/>
    </xf>
    <xf numFmtId="0" fontId="4" fillId="2" borderId="9" xfId="0" applyFont="1" applyFill="1" applyBorder="1" applyAlignment="1">
      <alignment horizontal="left" vertical="center" indent="3"/>
    </xf>
    <xf numFmtId="0" fontId="4" fillId="2" borderId="10" xfId="0" applyFont="1" applyFill="1" applyBorder="1" applyAlignment="1">
      <alignment horizontal="left" vertical="center" indent="3"/>
    </xf>
    <xf numFmtId="0" fontId="4" fillId="2" borderId="4" xfId="0" applyFont="1" applyFill="1" applyBorder="1" applyAlignment="1">
      <alignment horizontal="left" vertical="center" indent="3"/>
    </xf>
    <xf numFmtId="0" fontId="4" fillId="2" borderId="5" xfId="0" applyFont="1" applyFill="1" applyBorder="1" applyAlignment="1">
      <alignment horizontal="left" vertical="center" indent="3"/>
    </xf>
    <xf numFmtId="0" fontId="4" fillId="2" borderId="6" xfId="0" applyFont="1" applyFill="1" applyBorder="1" applyAlignment="1">
      <alignment horizontal="left" vertical="center" indent="3"/>
    </xf>
    <xf numFmtId="0" fontId="4" fillId="2" borderId="7" xfId="0" applyFont="1" applyFill="1" applyBorder="1" applyAlignment="1">
      <alignment horizontal="left" vertical="center" indent="3"/>
    </xf>
    <xf numFmtId="0" fontId="7" fillId="14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indent="1"/>
    </xf>
    <xf numFmtId="1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82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m/d/yyyy"/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auto="1"/>
      </font>
      <fill>
        <patternFill>
          <bgColor rgb="FFFFE7EA"/>
        </patternFill>
      </fill>
    </dxf>
    <dxf>
      <fill>
        <patternFill>
          <bgColor rgb="FFFFFF99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4646"/>
        </patternFill>
      </fill>
      <border>
        <left style="thin">
          <color rgb="FFFF4646"/>
        </left>
        <right style="thin">
          <color rgb="FFFF4646"/>
        </right>
        <top style="thin">
          <color rgb="FFFF4646"/>
        </top>
        <bottom style="thin">
          <color rgb="FFFF464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" formatCode="0"/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1" tint="0.34998626667073579"/>
      </font>
      <fill>
        <patternFill>
          <bgColor theme="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4" xr9:uid="{00000000-0011-0000-FFFF-FFFF00000000}">
      <tableStyleElement type="wholeTable" dxfId="81"/>
      <tableStyleElement type="headerRow" dxfId="80"/>
      <tableStyleElement type="firstColumn" dxfId="79"/>
      <tableStyleElement type="secondRowStripe" dxfId="78"/>
    </tableStyle>
  </tableStyles>
  <colors>
    <mruColors>
      <color rgb="FFFF6565"/>
      <color rgb="FFE6E6E6"/>
      <color rgb="FFFFEBEB"/>
      <color rgb="FFFFE6EB"/>
      <color rgb="FFFFE6E6"/>
      <color rgb="FFFFDEDD"/>
      <color rgb="FFFFCECD"/>
      <color rgb="FFFF8885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14</xdr:row>
          <xdr:rowOff>38100</xdr:rowOff>
        </xdr:from>
        <xdr:to>
          <xdr:col>21</xdr:col>
          <xdr:colOff>83820</xdr:colOff>
          <xdr:row>15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18</xdr:row>
          <xdr:rowOff>152400</xdr:rowOff>
        </xdr:from>
        <xdr:to>
          <xdr:col>21</xdr:col>
          <xdr:colOff>83820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7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960120"/>
          <a:ext cx="4587240" cy="6629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286682</xdr:colOff>
      <xdr:row>2</xdr:row>
      <xdr:rowOff>151411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4203362" y="1103911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13</xdr:col>
      <xdr:colOff>230576</xdr:colOff>
      <xdr:row>0</xdr:row>
      <xdr:rowOff>105833</xdr:rowOff>
    </xdr:from>
    <xdr:to>
      <xdr:col>14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7672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7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>
    <xdr:from>
      <xdr:col>5</xdr:col>
      <xdr:colOff>4145279</xdr:colOff>
      <xdr:row>1</xdr:row>
      <xdr:rowOff>149630</xdr:rowOff>
    </xdr:from>
    <xdr:to>
      <xdr:col>6</xdr:col>
      <xdr:colOff>1653540</xdr:colOff>
      <xdr:row>1</xdr:row>
      <xdr:rowOff>473630</xdr:rowOff>
    </xdr:to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9738359" y="797330"/>
          <a:ext cx="1866901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PRODUTO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982980</xdr:colOff>
      <xdr:row>0</xdr:row>
      <xdr:rowOff>105833</xdr:rowOff>
    </xdr:from>
    <xdr:to>
      <xdr:col>6</xdr:col>
      <xdr:colOff>1668863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1096518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1063680</xdr:colOff>
      <xdr:row>0</xdr:row>
      <xdr:rowOff>0</xdr:rowOff>
    </xdr:from>
    <xdr:to>
      <xdr:col>3</xdr:col>
      <xdr:colOff>915060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836985</xdr:colOff>
      <xdr:row>0</xdr:row>
      <xdr:rowOff>0</xdr:rowOff>
    </xdr:from>
    <xdr:to>
      <xdr:col>4</xdr:col>
      <xdr:colOff>1457985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1379910</xdr:colOff>
      <xdr:row>0</xdr:row>
      <xdr:rowOff>0</xdr:rowOff>
    </xdr:from>
    <xdr:to>
      <xdr:col>5</xdr:col>
      <xdr:colOff>1231290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1153215</xdr:colOff>
      <xdr:row>0</xdr:row>
      <xdr:rowOff>0</xdr:rowOff>
    </xdr:from>
    <xdr:to>
      <xdr:col>5</xdr:col>
      <xdr:colOff>2917215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2839140</xdr:colOff>
      <xdr:row>0</xdr:row>
      <xdr:rowOff>0</xdr:rowOff>
    </xdr:from>
    <xdr:to>
      <xdr:col>6</xdr:col>
      <xdr:colOff>244500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2255520</xdr:colOff>
      <xdr:row>1</xdr:row>
      <xdr:rowOff>149630</xdr:rowOff>
    </xdr:from>
    <xdr:to>
      <xdr:col>9</xdr:col>
      <xdr:colOff>1664939</xdr:colOff>
      <xdr:row>1</xdr:row>
      <xdr:rowOff>473630</xdr:rowOff>
    </xdr:to>
    <xdr:sp macro="[0]!lista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675620" y="797330"/>
          <a:ext cx="1695419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COMPRA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9</xdr:col>
      <xdr:colOff>1003316</xdr:colOff>
      <xdr:row>0</xdr:row>
      <xdr:rowOff>105833</xdr:rowOff>
    </xdr:from>
    <xdr:to>
      <xdr:col>9</xdr:col>
      <xdr:colOff>1689199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170941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4</xdr:col>
      <xdr:colOff>1094160</xdr:colOff>
      <xdr:row>0</xdr:row>
      <xdr:rowOff>0</xdr:rowOff>
    </xdr:from>
    <xdr:to>
      <xdr:col>5</xdr:col>
      <xdr:colOff>953160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5</xdr:col>
      <xdr:colOff>875085</xdr:colOff>
      <xdr:row>0</xdr:row>
      <xdr:rowOff>0</xdr:rowOff>
    </xdr:from>
    <xdr:to>
      <xdr:col>5</xdr:col>
      <xdr:colOff>2639085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5</xdr:col>
      <xdr:colOff>2561010</xdr:colOff>
      <xdr:row>0</xdr:row>
      <xdr:rowOff>0</xdr:rowOff>
    </xdr:from>
    <xdr:to>
      <xdr:col>5</xdr:col>
      <xdr:colOff>4317390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4239315</xdr:colOff>
      <xdr:row>0</xdr:row>
      <xdr:rowOff>0</xdr:rowOff>
    </xdr:from>
    <xdr:to>
      <xdr:col>8</xdr:col>
      <xdr:colOff>120675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8</xdr:col>
      <xdr:colOff>42600</xdr:colOff>
      <xdr:row>0</xdr:row>
      <xdr:rowOff>0</xdr:rowOff>
    </xdr:from>
    <xdr:to>
      <xdr:col>8</xdr:col>
      <xdr:colOff>1806600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8</xdr:col>
      <xdr:colOff>426720</xdr:colOff>
      <xdr:row>1</xdr:row>
      <xdr:rowOff>149630</xdr:rowOff>
    </xdr:from>
    <xdr:to>
      <xdr:col>8</xdr:col>
      <xdr:colOff>2122139</xdr:colOff>
      <xdr:row>1</xdr:row>
      <xdr:rowOff>473630</xdr:rowOff>
    </xdr:to>
    <xdr:sp macro="[0]!listaEstoqueB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846820" y="797330"/>
          <a:ext cx="1695419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ESTOQUE BAIXO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296924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0</xdr:colOff>
      <xdr:row>0</xdr:row>
      <xdr:rowOff>105833</xdr:rowOff>
    </xdr:from>
    <xdr:ext cx="957506" cy="265265"/>
    <xdr:sp macro="" textlink="#REF!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Olá, Admin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1522755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7</xdr:col>
      <xdr:colOff>2498792</xdr:colOff>
      <xdr:row>1</xdr:row>
      <xdr:rowOff>152400</xdr:rowOff>
    </xdr:from>
    <xdr:to>
      <xdr:col>8</xdr:col>
      <xdr:colOff>1214792</xdr:colOff>
      <xdr:row>1</xdr:row>
      <xdr:rowOff>476400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4843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8</xdr:col>
      <xdr:colOff>619196</xdr:colOff>
      <xdr:row>0</xdr:row>
      <xdr:rowOff>105833</xdr:rowOff>
    </xdr:from>
    <xdr:to>
      <xdr:col>8</xdr:col>
      <xdr:colOff>1221259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221683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#REF!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529306</xdr:colOff>
      <xdr:row>1</xdr:row>
      <xdr:rowOff>152400</xdr:rowOff>
    </xdr:from>
    <xdr:to>
      <xdr:col>7</xdr:col>
      <xdr:colOff>2293306</xdr:colOff>
      <xdr:row>1</xdr:row>
      <xdr:rowOff>476400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078946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twoCellAnchor editAs="oneCell">
    <xdr:from>
      <xdr:col>6</xdr:col>
      <xdr:colOff>83820</xdr:colOff>
      <xdr:row>1</xdr:row>
      <xdr:rowOff>152400</xdr:rowOff>
    </xdr:from>
    <xdr:to>
      <xdr:col>7</xdr:col>
      <xdr:colOff>323820</xdr:colOff>
      <xdr:row>1</xdr:row>
      <xdr:rowOff>476400</xdr:rowOff>
    </xdr:to>
    <xdr:sp macro="[0]!entradaXML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71094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MANUAL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495300</xdr:colOff>
      <xdr:row>1</xdr:row>
      <xdr:rowOff>152400</xdr:rowOff>
    </xdr:from>
    <xdr:to>
      <xdr:col>9</xdr:col>
      <xdr:colOff>2259300</xdr:colOff>
      <xdr:row>1</xdr:row>
      <xdr:rowOff>476400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10590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REGISTRAR SAIDA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G12" totalsRowShown="0" headerRowDxfId="77" dataDxfId="76">
  <autoFilter ref="D4:G12" xr:uid="{00000000-0009-0000-0100-000003000000}"/>
  <sortState xmlns:xlrd2="http://schemas.microsoft.com/office/spreadsheetml/2017/richdata2" ref="D5:E11">
    <sortCondition ref="D5:D11"/>
  </sortState>
  <tableColumns count="4">
    <tableColumn id="1" xr3:uid="{00000000-0010-0000-0000-000001000000}" name="id" dataDxfId="75"/>
    <tableColumn id="2" xr3:uid="{00000000-0010-0000-0000-000002000000}" name="password" dataDxfId="74"/>
    <tableColumn id="3" xr3:uid="{C36EB63F-976E-47D4-888A-FBB17D239BEA}" name="acesso" dataDxfId="73"/>
    <tableColumn id="4" xr3:uid="{C17A58FB-4200-44D1-A19D-0CEF36CB947A}" name="ultimo acesso" dataDxfId="7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I4:I5" totalsRowShown="0" headerRowDxfId="71" dataDxfId="70">
  <autoFilter ref="I4:I5" xr:uid="{00000000-0009-0000-0100-000004000000}"/>
  <tableColumns count="1">
    <tableColumn id="1" xr3:uid="{00000000-0010-0000-0100-000001000000}" name="ativo" dataDxfId="6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80E4D0-C24D-4B33-BE5E-720FA8DEC267}" name="cadProdutos8" displayName="cadProdutos8" ref="B3:G4" insertRow="1" totalsRowShown="0" headerRowDxfId="68" dataDxfId="67">
  <autoFilter ref="B3:G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8" xr3:uid="{E4A5DE79-63B9-4509-87CA-DE4D603A7AB1}" name="Nº" dataDxfId="66">
      <calculatedColumnFormula>COUNTA($C$3:cadProdutos8[[#This Row],[CODIGO DE BARRAS]])-1</calculatedColumnFormula>
    </tableColumn>
    <tableColumn id="1" xr3:uid="{29EE3303-B533-4FD1-8778-09DA50004A7D}" name="CODIGO DE BARRAS" dataDxfId="65"/>
    <tableColumn id="5" xr3:uid="{66F129D5-1FDE-4321-903D-F10C95F5C7AD}" name="TIPO" dataDxfId="64">
      <calculatedColumnFormula>IF(cadProdutos8[[#This Row],[CODIGO INTERNO]]="","",IF(cadProdutos8[[#This Row],[CODIGO INTERNO]]&lt;1000,"AP","PÇ"))</calculatedColumnFormula>
    </tableColumn>
    <tableColumn id="2" xr3:uid="{ACD8DD08-C484-4CEC-BA2F-17BA6C91BD9E}" name="CODIGO INTERNO" dataDxfId="63"/>
    <tableColumn id="3" xr3:uid="{8EC1859B-3CE2-4D0E-A32E-16984B06AC31}" name="PRODUTO" dataDxfId="62"/>
    <tableColumn id="6" xr3:uid="{0EDE8DC4-8883-4ECD-82BB-70ED879DED7D}" name="LIMITE DE ESTOQUE" dataDxfId="61"/>
  </tableColumns>
  <tableStyleInfo name="Estilo de Tabela 1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096D63-804F-49B1-95F4-E566E8A63C5B}" name="cadProdutos9" displayName="cadProdutos9" ref="B3:J4" insertRow="1" totalsRowShown="0" headerRowDxfId="1" dataDxfId="0" tableBorderDxfId="11">
  <autoFilter ref="B3:J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8" xr3:uid="{216303AB-8504-458B-8356-2EB3BB6F42D8}" name="Nº" dataDxfId="10">
      <calculatedColumnFormula>COUNTA($C$3:cadProdutos9[[#This Row],[CODIGO DE BARRAS]])-1</calculatedColumnFormula>
    </tableColumn>
    <tableColumn id="1" xr3:uid="{2957CF29-365B-4FC7-86A8-0A7E8A043AF3}" name="CODIGO DE BARRAS" dataDxfId="9"/>
    <tableColumn id="9" xr3:uid="{53EE4840-C708-4E1F-8DF2-A226F34D0AB3}" name="TIPO" dataDxfId="8">
      <calculatedColumnFormula>IF(cadProdutos9[[#This Row],[CODIGO INTERNO]]="","",IF(cadProdutos9[[#This Row],[CODIGO INTERNO]]&lt;1000,"AP","PÇ"))</calculatedColumnFormula>
    </tableColumn>
    <tableColumn id="2" xr3:uid="{E72CAFDB-CC9B-4CAC-BC5A-827747AE6928}" name="CODIGO INTERNO" dataDxfId="7"/>
    <tableColumn id="3" xr3:uid="{4562ECC0-2CD5-478C-B85F-73F67A812A57}" name="PRODUTO" dataDxfId="6"/>
    <tableColumn id="6" xr3:uid="{1AFE0EA6-EBF4-4A88-AE07-63CE6455BE75}" name="LIMITE" dataDxfId="5">
      <calculatedColumnFormula>INDEX(cadProdutos8[LIMITE DE ESTOQUE],MATCH(cadProdutos9[[#This Row],[CODIGO INTERNO]],cadProdutos8[CODIGO INTERNO],0))</calculatedColumnFormula>
    </tableColumn>
    <tableColumn id="4" xr3:uid="{7F8B6942-EE3F-4C93-89E2-290C03B8FD57}" name="ESTOQUE" dataDxfId="4"/>
    <tableColumn id="7" xr3:uid="{F30796E6-A384-4B20-B42F-05DB6220C419}" name="OBSERVAÇÕES" dataDxfId="3"/>
    <tableColumn id="5" xr3:uid="{01663418-C940-4EF5-950D-951373862101}" name="STATUS" dataDxfId="2">
      <calculatedColumnFormula>IF($H4&lt;$G4,"COMPRAR URGENTE",IF($H4&lt;=_xlfn.CEILING.MATH($G4*1.6),"ESTOQUE BAIXO","OK"))</calculatedColumnFormula>
    </tableColumn>
  </tableColumns>
  <tableStyleInfo name="Estilo de Tabela 1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741837-2DD5-450B-8381-4CFA6E86EB78}" name="Tabela2" displayName="Tabela2" ref="B2:E3" insertRow="1" totalsRowShown="0" headerRowDxfId="56" dataDxfId="55">
  <autoFilter ref="B2:E3" xr:uid="{0B58735A-A7DD-442B-A833-97360D598DA6}">
    <filterColumn colId="0" hiddenButton="1"/>
    <filterColumn colId="1" hiddenButton="1"/>
    <filterColumn colId="2" hiddenButton="1"/>
    <filterColumn colId="3" hiddenButton="1"/>
  </autoFilter>
  <tableColumns count="4">
    <tableColumn id="1" xr3:uid="{C31B69B0-C6F8-4ED5-BB3E-219DB8C846F8}" name="CODIGO" dataDxfId="54"/>
    <tableColumn id="2" xr3:uid="{874901C2-FCE5-4A63-B2D1-9A94100899E0}" name="PRODUTO" dataDxfId="53"/>
    <tableColumn id="3" xr3:uid="{4D2F085B-E7A1-43B2-AF15-52944ACCC9B6}" name="COMPRA MINIMA" dataDxfId="52"/>
    <tableColumn id="4" xr3:uid="{7212B90D-20AE-4771-AC9B-4EF3B35664A2}" name="RECOMENDADO" dataDxfId="51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B3:I4" insertRow="1" totalsRowShown="0" headerRowDxfId="48" dataDxfId="47" tableBorderDxfId="46">
  <autoFilter ref="B3:I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5" xr3:uid="{00000000-0010-0000-0200-000005000000}" name="DATA" dataDxfId="45"/>
    <tableColumn id="6" xr3:uid="{00000000-0010-0000-0200-000006000000}" name="HORA" dataDxfId="44"/>
    <tableColumn id="9" xr3:uid="{00000000-0010-0000-0200-000009000000}" name="USUARIO" dataDxfId="43"/>
    <tableColumn id="7" xr3:uid="{00000000-0010-0000-0200-000007000000}" name="CODIGO HERDEIRO" dataDxfId="42"/>
    <tableColumn id="1" xr3:uid="{00000000-0010-0000-0200-000001000000}" name="CODIGO DE BARRAS" dataDxfId="41"/>
    <tableColumn id="2" xr3:uid="{00000000-0010-0000-0200-000002000000}" name="CODIGO INTERNO" dataDxfId="40"/>
    <tableColumn id="3" xr3:uid="{00000000-0010-0000-0200-000003000000}" name="PRODUTO" dataDxfId="39"/>
    <tableColumn id="4" xr3:uid="{00000000-0010-0000-0200-000004000000}" name="QUANTIDADE" dataDxfId="38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6" displayName="Tabela16" ref="B3:J4" insertRow="1" totalsRowShown="0" headerRowDxfId="36" dataDxfId="35" tableBorderDxfId="34">
  <autoFilter ref="B3:J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300-000005000000}" name="DATA" dataDxfId="33"/>
    <tableColumn id="6" xr3:uid="{00000000-0010-0000-0300-000006000000}" name="HORA" dataDxfId="32"/>
    <tableColumn id="9" xr3:uid="{00000000-0010-0000-0300-000009000000}" name="USUARIO" dataDxfId="31"/>
    <tableColumn id="7" xr3:uid="{00000000-0010-0000-0300-000007000000}" name="CODIGO HERDEIRO" dataDxfId="30"/>
    <tableColumn id="1" xr3:uid="{00000000-0010-0000-0300-000001000000}" name="CODIGO DE BARRAS" dataDxfId="29"/>
    <tableColumn id="2" xr3:uid="{00000000-0010-0000-0300-000002000000}" name="CODIGO INTERNO" dataDxfId="28"/>
    <tableColumn id="3" xr3:uid="{00000000-0010-0000-0300-000003000000}" name="PRODUTO" dataDxfId="27"/>
    <tableColumn id="4" xr3:uid="{00000000-0010-0000-0300-000004000000}" name="ENTRADA" dataDxfId="26"/>
    <tableColumn id="10" xr3:uid="{00000000-0010-0000-0300-00000A000000}" name="MOTIVO DA ENTRADA" dataDxfId="25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D7C2A-B67B-40A3-A7D3-F163B3870DA1}" name="Tabela167" displayName="Tabela167" ref="B3:J4" insertRow="1" totalsRowShown="0" headerRowDxfId="23" dataDxfId="22" tableBorderDxfId="21">
  <autoFilter ref="B3:J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11A11187-0689-4C5E-B88C-27D70BC7164C}" name="DATA" dataDxfId="20"/>
    <tableColumn id="6" xr3:uid="{2B05856D-6481-44C5-A16A-293055BFE22C}" name="HORA" dataDxfId="19"/>
    <tableColumn id="9" xr3:uid="{F9AD90DD-D79A-4782-B8E1-9CF73FC4B22B}" name="USUARIO" dataDxfId="18"/>
    <tableColumn id="7" xr3:uid="{C72AB799-2049-432D-80ED-242DE5F2BB83}" name="CODIGO HERDEIRO" dataDxfId="17"/>
    <tableColumn id="1" xr3:uid="{FAE912EE-E946-405E-AC22-D68AA7B8BD04}" name="CODIGO DE BARRAS" dataDxfId="16"/>
    <tableColumn id="2" xr3:uid="{58B323AB-6D93-4ADD-A974-1D9B758BE691}" name="CODIGO INTERNO" dataDxfId="15"/>
    <tableColumn id="3" xr3:uid="{C2963EA8-9B0E-4D63-84A3-EC6BDB4AF539}" name="PRODUTO" dataDxfId="14"/>
    <tableColumn id="4" xr3:uid="{183363E3-F00E-4B9E-8F92-9B3F4D561941}" name="SAIDA" dataDxfId="13"/>
    <tableColumn id="10" xr3:uid="{1CAF50A7-4E0E-48FE-8B50-8CC4388E00A4}" name="MOTIVO DA RETIRADA" dataDxfId="12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30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9"/>
    </row>
    <row r="2" spans="1:24" x14ac:dyDescent="0.3">
      <c r="A2" s="30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9"/>
    </row>
    <row r="3" spans="1:24" x14ac:dyDescent="0.3">
      <c r="A3" s="30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9"/>
    </row>
    <row r="4" spans="1:24" x14ac:dyDescent="0.3">
      <c r="A4" s="30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9"/>
    </row>
    <row r="5" spans="1:24" x14ac:dyDescent="0.3">
      <c r="A5" s="30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9"/>
    </row>
    <row r="6" spans="1:24" x14ac:dyDescent="0.3">
      <c r="A6" s="30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9"/>
    </row>
    <row r="7" spans="1:24" x14ac:dyDescent="0.3">
      <c r="A7" s="30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9"/>
    </row>
    <row r="8" spans="1:24" x14ac:dyDescent="0.3">
      <c r="A8" s="30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9"/>
    </row>
    <row r="9" spans="1:24" x14ac:dyDescent="0.3">
      <c r="A9" s="30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9"/>
    </row>
    <row r="10" spans="1:24" x14ac:dyDescent="0.3">
      <c r="A10" s="30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9"/>
    </row>
    <row r="11" spans="1:24" x14ac:dyDescent="0.3">
      <c r="A11" s="30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9"/>
    </row>
    <row r="12" spans="1:24" x14ac:dyDescent="0.3">
      <c r="A12" s="30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9"/>
    </row>
    <row r="13" spans="1:24" x14ac:dyDescent="0.3">
      <c r="A13" s="30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9"/>
    </row>
    <row r="14" spans="1:24" x14ac:dyDescent="0.3">
      <c r="A14" s="30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9"/>
    </row>
    <row r="15" spans="1:24" x14ac:dyDescent="0.3">
      <c r="A15" s="30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9"/>
    </row>
    <row r="16" spans="1:24" x14ac:dyDescent="0.3">
      <c r="A16" s="30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9"/>
    </row>
    <row r="17" spans="1:24" x14ac:dyDescent="0.3">
      <c r="A17" s="30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9"/>
    </row>
    <row r="18" spans="1:24" x14ac:dyDescent="0.3">
      <c r="A18" s="30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9"/>
    </row>
    <row r="19" spans="1:24" x14ac:dyDescent="0.3">
      <c r="A19" s="30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9"/>
    </row>
    <row r="20" spans="1:24" x14ac:dyDescent="0.3">
      <c r="A20" s="30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9"/>
    </row>
    <row r="21" spans="1:24" x14ac:dyDescent="0.3">
      <c r="A21" s="30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9"/>
    </row>
    <row r="22" spans="1:24" x14ac:dyDescent="0.3">
      <c r="A22" s="30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9"/>
    </row>
    <row r="23" spans="1:24" x14ac:dyDescent="0.3">
      <c r="A23" s="30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9"/>
    </row>
    <row r="24" spans="1:24" x14ac:dyDescent="0.3">
      <c r="A24" s="30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9"/>
    </row>
    <row r="25" spans="1:24" x14ac:dyDescent="0.3">
      <c r="A25" s="30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9"/>
    </row>
    <row r="26" spans="1:24" x14ac:dyDescent="0.3">
      <c r="A26" s="30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9"/>
    </row>
    <row r="27" spans="1:24" x14ac:dyDescent="0.3">
      <c r="A27" s="30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9"/>
    </row>
    <row r="28" spans="1:24" x14ac:dyDescent="0.3">
      <c r="A28" s="30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9"/>
    </row>
    <row r="29" spans="1:24" x14ac:dyDescent="0.3">
      <c r="A29" s="30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9"/>
    </row>
    <row r="30" spans="1:24" x14ac:dyDescent="0.3">
      <c r="A30" s="30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9"/>
    </row>
    <row r="31" spans="1:24" x14ac:dyDescent="0.3">
      <c r="A31" s="30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9"/>
    </row>
    <row r="32" spans="1:24" x14ac:dyDescent="0.3">
      <c r="A32" s="30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9"/>
    </row>
    <row r="33" spans="1:24" x14ac:dyDescent="0.3">
      <c r="A33" s="30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9"/>
    </row>
    <row r="34" spans="1:24" x14ac:dyDescent="0.3">
      <c r="A34" s="30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9"/>
    </row>
    <row r="35" spans="1:24" x14ac:dyDescent="0.3">
      <c r="A35" s="30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9"/>
    </row>
    <row r="36" spans="1:24" x14ac:dyDescent="0.3">
      <c r="A36" s="30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9"/>
    </row>
    <row r="37" spans="1:24" x14ac:dyDescent="0.3">
      <c r="A37" s="30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9"/>
    </row>
    <row r="38" spans="1:24" x14ac:dyDescent="0.3">
      <c r="A38" s="30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9"/>
    </row>
    <row r="39" spans="1:24" x14ac:dyDescent="0.3">
      <c r="A39" s="30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9"/>
    </row>
    <row r="40" spans="1:24" x14ac:dyDescent="0.3">
      <c r="A40" s="30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9"/>
    </row>
    <row r="41" spans="1:24" x14ac:dyDescent="0.3">
      <c r="A41" s="30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9"/>
    </row>
    <row r="42" spans="1:24" x14ac:dyDescent="0.3">
      <c r="A42" s="30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9"/>
    </row>
    <row r="43" spans="1:24" x14ac:dyDescent="0.3">
      <c r="A43" s="30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9"/>
    </row>
    <row r="44" spans="1:24" x14ac:dyDescent="0.3">
      <c r="A44" s="30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9"/>
    </row>
    <row r="45" spans="1:24" x14ac:dyDescent="0.3">
      <c r="A45" s="30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9"/>
    </row>
    <row r="46" spans="1:24" x14ac:dyDescent="0.3">
      <c r="A46" s="30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9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>
              <from>
                <xdr:col>16</xdr:col>
                <xdr:colOff>129540</xdr:colOff>
                <xdr:row>14</xdr:row>
                <xdr:rowOff>38100</xdr:rowOff>
              </from>
              <to>
                <xdr:col>21</xdr:col>
                <xdr:colOff>83820</xdr:colOff>
                <xdr:row>15</xdr:row>
                <xdr:rowOff>106680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129540</xdr:colOff>
                <xdr:row>18</xdr:row>
                <xdr:rowOff>152400</xdr:rowOff>
              </from>
              <to>
                <xdr:col>21</xdr:col>
                <xdr:colOff>83820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32" r:id="rId8" name="logginBtn">
          <controlPr defaultSize="0" autoLine="0" r:id="rId9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8" name="loggin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abSelected="1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2:48" x14ac:dyDescent="0.3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2:48" x14ac:dyDescent="0.3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2:48" x14ac:dyDescent="0.3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</row>
    <row r="5" spans="2:48" x14ac:dyDescent="0.3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</row>
    <row r="6" spans="2:48" x14ac:dyDescent="0.3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x14ac:dyDescent="0.3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2:48" x14ac:dyDescent="0.3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2:48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</row>
    <row r="11" spans="2:48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</row>
    <row r="12" spans="2:48" x14ac:dyDescent="0.3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</row>
    <row r="13" spans="2:48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</row>
    <row r="14" spans="2:48" x14ac:dyDescent="0.3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</row>
    <row r="15" spans="2:48" x14ac:dyDescent="0.3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</row>
    <row r="16" spans="2:48" x14ac:dyDescent="0.3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</row>
    <row r="17" spans="2:48" x14ac:dyDescent="0.3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</row>
    <row r="18" spans="2:48" x14ac:dyDescent="0.3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</row>
    <row r="19" spans="2:48" x14ac:dyDescent="0.3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</row>
    <row r="20" spans="2:48" x14ac:dyDescent="0.3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</row>
    <row r="21" spans="2:48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</row>
    <row r="22" spans="2:48" x14ac:dyDescent="0.3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</row>
    <row r="23" spans="2:48" x14ac:dyDescent="0.3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</row>
    <row r="24" spans="2:48" x14ac:dyDescent="0.3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</row>
    <row r="25" spans="2:48" x14ac:dyDescent="0.3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</row>
    <row r="26" spans="2:48" x14ac:dyDescent="0.3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</row>
    <row r="27" spans="2:48" x14ac:dyDescent="0.3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</row>
    <row r="28" spans="2:48" x14ac:dyDescent="0.3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</row>
    <row r="29" spans="2:48" x14ac:dyDescent="0.3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</row>
    <row r="30" spans="2:48" x14ac:dyDescent="0.3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</row>
    <row r="31" spans="2:48" x14ac:dyDescent="0.3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</row>
    <row r="32" spans="2:48" x14ac:dyDescent="0.3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</row>
    <row r="33" spans="2:48" x14ac:dyDescent="0.3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</row>
    <row r="34" spans="2:48" x14ac:dyDescent="0.3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</row>
    <row r="35" spans="2:48" x14ac:dyDescent="0.3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</row>
    <row r="36" spans="2:48" x14ac:dyDescent="0.3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</row>
    <row r="37" spans="2:48" x14ac:dyDescent="0.3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</row>
    <row r="38" spans="2:48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</row>
    <row r="39" spans="2:48" x14ac:dyDescent="0.3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</row>
    <row r="40" spans="2:48" x14ac:dyDescent="0.3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</row>
    <row r="41" spans="2:48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</row>
    <row r="42" spans="2:48" x14ac:dyDescent="0.3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</row>
    <row r="43" spans="2:48" x14ac:dyDescent="0.3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</row>
    <row r="44" spans="2:48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</row>
    <row r="45" spans="2:48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</row>
    <row r="46" spans="2:48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</row>
    <row r="47" spans="2:48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</row>
    <row r="48" spans="2:48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</row>
    <row r="49" spans="2:48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</row>
    <row r="50" spans="2:48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</row>
    <row r="51" spans="2:48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</row>
    <row r="52" spans="2:48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</row>
    <row r="53" spans="2:48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</row>
    <row r="54" spans="2:48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</row>
    <row r="55" spans="2:48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</row>
    <row r="56" spans="2:48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</row>
    <row r="57" spans="2:48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</row>
    <row r="58" spans="2:48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</row>
    <row r="59" spans="2:48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</row>
    <row r="60" spans="2:48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</row>
    <row r="61" spans="2:48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</row>
    <row r="62" spans="2:48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</row>
    <row r="63" spans="2:48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</row>
    <row r="64" spans="2:48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</row>
    <row r="65" spans="2:48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</row>
    <row r="66" spans="2:48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</row>
    <row r="67" spans="2:48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</row>
    <row r="68" spans="2:48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</row>
    <row r="69" spans="2:48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</row>
    <row r="70" spans="2:48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</row>
    <row r="71" spans="2:48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</row>
    <row r="72" spans="2:48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</row>
    <row r="73" spans="2:48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</row>
    <row r="74" spans="2:48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</row>
    <row r="75" spans="2:48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</row>
    <row r="76" spans="2:48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</row>
    <row r="77" spans="2:48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</row>
    <row r="78" spans="2:48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</row>
    <row r="79" spans="2:48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</row>
    <row r="80" spans="2:48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</row>
    <row r="81" spans="2:48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</row>
    <row r="82" spans="2:48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</row>
    <row r="83" spans="2:48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</row>
    <row r="84" spans="2:48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</row>
    <row r="85" spans="2:48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</row>
    <row r="86" spans="2:48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</row>
    <row r="87" spans="2:48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</row>
    <row r="88" spans="2:48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</row>
    <row r="89" spans="2:48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</row>
    <row r="90" spans="2:48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</row>
    <row r="91" spans="2:48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</row>
    <row r="92" spans="2:48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</row>
    <row r="93" spans="2:48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</row>
    <row r="94" spans="2:48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</row>
    <row r="95" spans="2:48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</row>
    <row r="96" spans="2:48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</row>
    <row r="97" spans="2:48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</row>
    <row r="98" spans="2:48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</row>
    <row r="99" spans="2:48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</row>
    <row r="100" spans="2:48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</row>
    <row r="101" spans="2:48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</row>
    <row r="102" spans="2:48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</row>
    <row r="103" spans="2:48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</row>
    <row r="104" spans="2:48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</row>
    <row r="105" spans="2:48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</row>
    <row r="106" spans="2:48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19"/>
  <sheetViews>
    <sheetView showGridLines="0" showRowColHeaders="0" topLeftCell="B1" workbookViewId="0">
      <selection activeCell="G7" sqref="G7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7" width="16.6640625" customWidth="1"/>
    <col min="8" max="8" width="8.88671875" customWidth="1"/>
    <col min="9" max="9" width="16.6640625" customWidth="1"/>
    <col min="10" max="15" width="8.88671875" customWidth="1"/>
    <col min="16" max="18" width="0" hidden="1" customWidth="1"/>
    <col min="19" max="16384" width="8.88671875" hidden="1"/>
  </cols>
  <sheetData>
    <row r="1" spans="2:15" ht="50.4" customHeight="1" x14ac:dyDescent="0.3">
      <c r="B1" s="14" t="s">
        <v>20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5" ht="24.6" customHeight="1" x14ac:dyDescent="0.3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2:15" ht="52.8" customHeight="1" x14ac:dyDescent="0.3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8" customHeight="1" x14ac:dyDescent="0.3">
      <c r="B4" s="14"/>
      <c r="C4" s="14"/>
      <c r="D4" s="11" t="s">
        <v>9</v>
      </c>
      <c r="E4" s="11" t="s">
        <v>11</v>
      </c>
      <c r="F4" s="11" t="s">
        <v>27</v>
      </c>
      <c r="G4" s="11" t="s">
        <v>28</v>
      </c>
      <c r="H4" s="14"/>
      <c r="I4" s="11" t="s">
        <v>12</v>
      </c>
      <c r="J4" s="14"/>
      <c r="K4" s="14"/>
      <c r="L4" s="14"/>
      <c r="M4" s="14"/>
      <c r="N4" s="14"/>
      <c r="O4" s="14"/>
    </row>
    <row r="5" spans="2:15" ht="18" customHeight="1" x14ac:dyDescent="0.3">
      <c r="B5" s="14"/>
      <c r="C5" s="14"/>
      <c r="D5" s="11" t="s">
        <v>10</v>
      </c>
      <c r="E5" s="12" t="s">
        <v>10</v>
      </c>
      <c r="F5" s="20">
        <v>3</v>
      </c>
      <c r="G5" s="21">
        <v>44833</v>
      </c>
      <c r="H5" s="14"/>
      <c r="I5" s="11"/>
      <c r="J5" s="14" t="str">
        <f>IF(actv[]="","Sem login ativo","Logado")</f>
        <v>Sem login ativo</v>
      </c>
      <c r="K5" s="14"/>
      <c r="L5" s="14"/>
      <c r="M5" s="14"/>
      <c r="N5" s="14"/>
      <c r="O5" s="14"/>
    </row>
    <row r="6" spans="2:15" ht="18" customHeight="1" x14ac:dyDescent="0.3">
      <c r="B6" s="14"/>
      <c r="C6" s="14"/>
      <c r="D6" s="11"/>
      <c r="E6" s="12"/>
      <c r="F6" s="20"/>
      <c r="G6" s="21"/>
      <c r="H6" s="14"/>
      <c r="I6" s="14"/>
      <c r="J6" s="14"/>
      <c r="K6" s="14"/>
      <c r="L6" s="14"/>
      <c r="M6" s="14"/>
      <c r="N6" s="14"/>
      <c r="O6" s="14"/>
    </row>
    <row r="7" spans="2:15" ht="18" customHeight="1" x14ac:dyDescent="0.3">
      <c r="B7" s="14"/>
      <c r="C7" s="14"/>
      <c r="D7" s="11"/>
      <c r="E7" s="12"/>
      <c r="F7" s="20"/>
      <c r="G7" s="21"/>
      <c r="H7" s="14"/>
      <c r="I7" s="14"/>
      <c r="J7" s="14"/>
      <c r="K7" s="14"/>
      <c r="L7" s="14"/>
      <c r="M7" s="14"/>
      <c r="N7" s="14"/>
      <c r="O7" s="14"/>
    </row>
    <row r="8" spans="2:15" ht="18" customHeight="1" x14ac:dyDescent="0.3">
      <c r="B8" s="14"/>
      <c r="C8" s="14"/>
      <c r="D8" s="11"/>
      <c r="E8" s="12"/>
      <c r="F8" s="20"/>
      <c r="G8" s="21"/>
      <c r="H8" s="14"/>
      <c r="I8" s="14"/>
      <c r="J8" s="14"/>
      <c r="K8" s="14"/>
      <c r="L8" s="14"/>
      <c r="M8" s="14"/>
      <c r="N8" s="14"/>
      <c r="O8" s="14"/>
    </row>
    <row r="9" spans="2:15" ht="18" customHeight="1" x14ac:dyDescent="0.3">
      <c r="B9" s="14"/>
      <c r="C9" s="14"/>
      <c r="D9" s="11"/>
      <c r="E9" s="13"/>
      <c r="F9" s="20"/>
      <c r="G9" s="21"/>
      <c r="H9" s="14"/>
      <c r="I9" s="14"/>
      <c r="J9" s="14"/>
      <c r="K9" s="14"/>
      <c r="L9" s="14"/>
      <c r="M9" s="14"/>
      <c r="N9" s="14"/>
      <c r="O9" s="14"/>
    </row>
    <row r="10" spans="2:15" ht="18" customHeight="1" x14ac:dyDescent="0.3">
      <c r="B10" s="14"/>
      <c r="C10" s="14"/>
      <c r="D10" s="11"/>
      <c r="E10" s="12"/>
      <c r="F10" s="20"/>
      <c r="G10" s="21"/>
      <c r="H10" s="14"/>
      <c r="I10" s="14"/>
      <c r="J10" s="14"/>
      <c r="K10" s="14"/>
      <c r="L10" s="14"/>
      <c r="M10" s="14"/>
      <c r="N10" s="14"/>
      <c r="O10" s="14"/>
    </row>
    <row r="11" spans="2:15" ht="18" customHeight="1" x14ac:dyDescent="0.3">
      <c r="B11" s="14"/>
      <c r="C11" s="14"/>
      <c r="D11" s="11"/>
      <c r="E11" s="12"/>
      <c r="F11" s="20"/>
      <c r="G11" s="21"/>
      <c r="H11" s="14"/>
      <c r="I11" s="14"/>
      <c r="J11" s="14"/>
      <c r="K11" s="14"/>
      <c r="L11" s="14"/>
      <c r="M11" s="14"/>
      <c r="N11" s="14"/>
      <c r="O11" s="14"/>
    </row>
    <row r="12" spans="2:15" ht="18" customHeight="1" x14ac:dyDescent="0.3">
      <c r="B12" s="14"/>
      <c r="C12" s="14"/>
      <c r="D12" s="11"/>
      <c r="E12" s="12"/>
      <c r="F12" s="20"/>
      <c r="G12" s="21"/>
      <c r="H12" s="14"/>
      <c r="I12" s="14"/>
      <c r="J12" s="14"/>
      <c r="K12" s="14"/>
      <c r="L12" s="14"/>
      <c r="M12" s="14"/>
      <c r="N12" s="14"/>
      <c r="O12" s="14"/>
    </row>
    <row r="13" spans="2:15" ht="18" customHeight="1" x14ac:dyDescent="0.3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2:15" ht="18" customHeight="1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2:15" ht="18" customHeight="1" x14ac:dyDescent="0.3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</row>
    <row r="16" spans="2:15" ht="18" customHeight="1" x14ac:dyDescent="0.3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</row>
    <row r="17" spans="2:15" ht="18" customHeight="1" x14ac:dyDescent="0.3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2:15" ht="18" customHeight="1" x14ac:dyDescent="0.3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2:15" ht="18" customHeight="1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</sheetData>
  <dataValidations count="1">
    <dataValidation type="list" allowBlank="1" showDropDown="1" showInputMessage="1" showErrorMessage="1" sqref="I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E72C-123B-4B7E-9E56-57BFF92CF826}">
  <sheetPr codeName="Planilha8"/>
  <dimension ref="B1:H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F4" sqref="F4"/>
    </sheetView>
  </sheetViews>
  <sheetFormatPr defaultColWidth="0" defaultRowHeight="14.4" customHeight="1" zeroHeight="1" x14ac:dyDescent="0.3"/>
  <cols>
    <col min="1" max="1" width="8.88671875" hidden="1" customWidth="1"/>
    <col min="2" max="2" width="9.77734375" bestFit="1" customWidth="1"/>
    <col min="3" max="3" width="27.77734375" customWidth="1"/>
    <col min="4" max="4" width="16.6640625" customWidth="1"/>
    <col min="5" max="5" width="27.77734375" customWidth="1"/>
    <col min="6" max="6" width="63.5546875" customWidth="1"/>
    <col min="7" max="8" width="26.6640625" customWidth="1"/>
    <col min="9" max="16384" width="8.88671875" hidden="1"/>
  </cols>
  <sheetData>
    <row r="1" spans="2:8" ht="51" customHeight="1" x14ac:dyDescent="0.3">
      <c r="B1" s="6" t="e">
        <f>CONCATENATE("Olá, ",LEFT(actv[],1),LOWER(RIGHT(actv[],LEN(actv[])-1)))</f>
        <v>#VALUE!</v>
      </c>
      <c r="C1" s="6"/>
      <c r="D1" s="7"/>
      <c r="E1" s="7"/>
      <c r="F1" s="7"/>
      <c r="G1" s="7"/>
      <c r="H1" s="16"/>
    </row>
    <row r="2" spans="2:8" ht="48" customHeight="1" x14ac:dyDescent="0.3">
      <c r="B2" s="31"/>
      <c r="C2" s="32"/>
      <c r="D2" s="32"/>
      <c r="E2" s="32"/>
      <c r="F2" s="32"/>
      <c r="G2" s="33"/>
      <c r="H2" s="17"/>
    </row>
    <row r="3" spans="2:8" ht="27" customHeight="1" x14ac:dyDescent="0.3">
      <c r="B3" s="22" t="s">
        <v>17</v>
      </c>
      <c r="C3" s="22" t="s">
        <v>0</v>
      </c>
      <c r="D3" s="22" t="s">
        <v>15</v>
      </c>
      <c r="E3" s="22" t="s">
        <v>1</v>
      </c>
      <c r="F3" s="22" t="s">
        <v>2</v>
      </c>
      <c r="G3" s="22" t="s">
        <v>21</v>
      </c>
      <c r="H3" s="18"/>
    </row>
    <row r="4" spans="2:8" ht="27" customHeight="1" x14ac:dyDescent="0.4">
      <c r="B4" s="23"/>
      <c r="C4" s="23"/>
      <c r="D4" s="23"/>
      <c r="E4" s="23"/>
      <c r="F4" s="25"/>
      <c r="G4" s="24"/>
      <c r="H4" s="19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ACC9-5230-413B-8033-17ECCF0C2B29}">
  <sheetPr codeName="Planilha9"/>
  <dimension ref="B1:K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6640625" hidden="1" customWidth="1"/>
    <col min="4" max="4" width="16.6640625" hidden="1" customWidth="1"/>
    <col min="5" max="5" width="27.6640625" customWidth="1"/>
    <col min="6" max="6" width="63.5546875" customWidth="1"/>
    <col min="7" max="7" width="18.88671875" hidden="1" customWidth="1"/>
    <col min="8" max="8" width="22.21875" customWidth="1"/>
    <col min="9" max="9" width="33.33203125" customWidth="1"/>
    <col min="10" max="10" width="26.6640625" customWidth="1"/>
    <col min="11" max="11" width="9.6640625" customWidth="1"/>
    <col min="12" max="16384" width="8.88671875" hidden="1"/>
  </cols>
  <sheetData>
    <row r="1" spans="2:11" ht="51" customHeight="1" x14ac:dyDescent="0.3">
      <c r="B1" s="6" t="e">
        <f>CONCATENATE("Olá, ",LEFT(actv[],1),LOWER(RIGHT(actv[],LEN(actv[])-1)))</f>
        <v>#VALUE!</v>
      </c>
      <c r="C1" s="6"/>
      <c r="D1" s="6"/>
      <c r="E1" s="7"/>
      <c r="F1" s="7"/>
      <c r="G1" s="7"/>
      <c r="H1" s="7"/>
      <c r="I1" s="7"/>
      <c r="J1" s="7">
        <v>0</v>
      </c>
      <c r="K1" s="15"/>
    </row>
    <row r="2" spans="2:11" ht="48" customHeight="1" x14ac:dyDescent="0.3">
      <c r="B2" s="34"/>
      <c r="C2" s="35"/>
      <c r="D2" s="35"/>
      <c r="E2" s="35"/>
      <c r="F2" s="35"/>
      <c r="G2" s="35"/>
      <c r="H2" s="36"/>
      <c r="I2" s="36"/>
      <c r="J2" s="37"/>
      <c r="K2" s="15"/>
    </row>
    <row r="3" spans="2:11" ht="27" customHeight="1" x14ac:dyDescent="0.3">
      <c r="B3" s="48" t="s">
        <v>17</v>
      </c>
      <c r="C3" s="48" t="s">
        <v>0</v>
      </c>
      <c r="D3" s="48" t="s">
        <v>15</v>
      </c>
      <c r="E3" s="48" t="s">
        <v>1</v>
      </c>
      <c r="F3" s="48" t="s">
        <v>2</v>
      </c>
      <c r="G3" s="48" t="s">
        <v>23</v>
      </c>
      <c r="H3" s="48" t="s">
        <v>4</v>
      </c>
      <c r="I3" s="48" t="s">
        <v>16</v>
      </c>
      <c r="J3" s="48" t="s">
        <v>22</v>
      </c>
      <c r="K3" s="15"/>
    </row>
    <row r="4" spans="2:11" ht="27" customHeight="1" x14ac:dyDescent="0.3">
      <c r="B4" s="49"/>
      <c r="C4" s="49"/>
      <c r="D4" s="49"/>
      <c r="E4" s="49"/>
      <c r="F4" s="50"/>
      <c r="G4" s="51"/>
      <c r="H4" s="49"/>
      <c r="I4" s="52"/>
      <c r="J4" s="53"/>
      <c r="K4" s="15"/>
    </row>
  </sheetData>
  <dataConsolidate link="1"/>
  <mergeCells count="1">
    <mergeCell ref="B2:J2"/>
  </mergeCells>
  <conditionalFormatting sqref="J4">
    <cfRule type="expression" dxfId="60" priority="9">
      <formula>$H4&lt;$G4</formula>
    </cfRule>
    <cfRule type="expression" dxfId="59" priority="10">
      <formula>$H4&lt;=_xlfn.CEILING.MATH($G4*1.6)</formula>
    </cfRule>
  </conditionalFormatting>
  <conditionalFormatting sqref="H4">
    <cfRule type="expression" dxfId="58" priority="11">
      <formula>1=1</formula>
    </cfRule>
    <cfRule type="expression" dxfId="57" priority="12">
      <formula>$H4&lt;$G4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151-6227-4BB4-AE65-F1782BF3EA47}">
  <sheetPr codeName="Planilha2">
    <pageSetUpPr fitToPage="1"/>
  </sheetPr>
  <dimension ref="A1:F4"/>
  <sheetViews>
    <sheetView showGridLines="0" showRowColHeaders="0" zoomScale="130" zoomScaleNormal="130" workbookViewId="0">
      <selection activeCell="C2" sqref="C2"/>
    </sheetView>
  </sheetViews>
  <sheetFormatPr defaultColWidth="0" defaultRowHeight="14.4" zeroHeight="1" x14ac:dyDescent="0.3"/>
  <cols>
    <col min="1" max="1" width="3.33203125" customWidth="1"/>
    <col min="2" max="2" width="15.5546875" customWidth="1"/>
    <col min="3" max="3" width="33.33203125" customWidth="1"/>
    <col min="4" max="5" width="19.44140625" customWidth="1"/>
    <col min="6" max="6" width="8.88671875" customWidth="1"/>
    <col min="7" max="16384" width="8.88671875" hidden="1"/>
  </cols>
  <sheetData>
    <row r="1" spans="2:5" ht="35.4" customHeight="1" x14ac:dyDescent="0.3">
      <c r="B1" s="38" t="str">
        <f ca="1">"LISTA DE COMPRAS - "&amp;TEXT(TODAY(),"dd/mm/aaaa")</f>
        <v>LISTA DE COMPRAS - 30/09/2022</v>
      </c>
      <c r="C1" s="38"/>
      <c r="D1" s="38"/>
      <c r="E1" s="38"/>
    </row>
    <row r="2" spans="2:5" ht="21" customHeight="1" x14ac:dyDescent="0.3">
      <c r="B2" s="11" t="s">
        <v>24</v>
      </c>
      <c r="C2" s="11" t="s">
        <v>2</v>
      </c>
      <c r="D2" s="11" t="s">
        <v>25</v>
      </c>
      <c r="E2" s="11" t="s">
        <v>26</v>
      </c>
    </row>
    <row r="3" spans="2:5" ht="21" customHeight="1" x14ac:dyDescent="0.3">
      <c r="B3" s="11"/>
      <c r="C3" s="11"/>
      <c r="D3" s="11"/>
      <c r="E3" s="11"/>
    </row>
    <row r="4" spans="2:5" x14ac:dyDescent="0.3"/>
  </sheetData>
  <mergeCells count="1">
    <mergeCell ref="B1:E1"/>
  </mergeCells>
  <printOptions horizontalCentered="1"/>
  <pageMargins left="0.31496062992125984" right="0.31496062992125984" top="0.59055118110236227" bottom="0.59055118110236227" header="0.31496062992125984" footer="0.31496062992125984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B1:J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21875" customWidth="1"/>
    <col min="8" max="8" width="44.44140625" customWidth="1"/>
    <col min="9" max="9" width="20" customWidth="1"/>
    <col min="10" max="10" width="26.6640625" customWidth="1"/>
    <col min="11" max="16384" width="8.88671875" hidden="1"/>
  </cols>
  <sheetData>
    <row r="1" spans="2:10" ht="51" customHeight="1" x14ac:dyDescent="0.3">
      <c r="B1" s="6"/>
      <c r="C1" s="7"/>
      <c r="D1" s="7"/>
      <c r="E1" s="7"/>
      <c r="F1" s="7"/>
      <c r="G1" s="7"/>
      <c r="H1" s="7"/>
      <c r="I1" s="7"/>
      <c r="J1" s="16"/>
    </row>
    <row r="2" spans="2:10" ht="48" customHeight="1" x14ac:dyDescent="0.3">
      <c r="B2" s="39"/>
      <c r="C2" s="40"/>
      <c r="D2" s="40"/>
      <c r="E2" s="40"/>
      <c r="F2" s="40"/>
      <c r="G2" s="40"/>
      <c r="H2" s="40"/>
      <c r="I2" s="41"/>
      <c r="J2" s="16"/>
    </row>
    <row r="3" spans="2:10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3</v>
      </c>
      <c r="J3" s="16"/>
    </row>
    <row r="4" spans="2:10" ht="21" customHeight="1" x14ac:dyDescent="0.4">
      <c r="B4" s="1"/>
      <c r="C4" s="10"/>
      <c r="D4" s="2"/>
      <c r="E4" s="2"/>
      <c r="F4" s="2"/>
      <c r="G4" s="2"/>
      <c r="H4" s="3"/>
      <c r="I4" s="5"/>
      <c r="J4" s="16"/>
    </row>
  </sheetData>
  <mergeCells count="1">
    <mergeCell ref="B2:I2"/>
  </mergeCells>
  <conditionalFormatting sqref="I4">
    <cfRule type="cellIs" dxfId="50" priority="1" operator="greaterThan">
      <formula>-1</formula>
    </cfRule>
    <cfRule type="cellIs" dxfId="49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1:K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8.88671875" customWidth="1"/>
    <col min="12" max="16384" width="8.88671875" hidden="1"/>
  </cols>
  <sheetData>
    <row r="1" spans="2:11" ht="51" customHeight="1" x14ac:dyDescent="0.3">
      <c r="B1" s="6" t="e">
        <f>CONCATENATE("Olá, ",LEFT(actv[],1),LOWER(RIGHT(actv[],LEN(actv[])-1)))</f>
        <v>#VALUE!</v>
      </c>
      <c r="C1" s="7"/>
      <c r="D1" s="7"/>
      <c r="E1" s="7"/>
      <c r="F1" s="7"/>
      <c r="G1" s="7"/>
      <c r="H1" s="7"/>
      <c r="I1" s="7"/>
      <c r="J1" s="7"/>
      <c r="K1" s="15"/>
    </row>
    <row r="2" spans="2:11" ht="48" customHeight="1" x14ac:dyDescent="0.3">
      <c r="B2" s="42"/>
      <c r="C2" s="43"/>
      <c r="D2" s="43"/>
      <c r="E2" s="43"/>
      <c r="F2" s="43"/>
      <c r="G2" s="43"/>
      <c r="H2" s="43"/>
      <c r="I2" s="43"/>
      <c r="J2" s="44"/>
      <c r="K2" s="15"/>
    </row>
    <row r="3" spans="2:11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13</v>
      </c>
      <c r="J3" s="4" t="s">
        <v>14</v>
      </c>
      <c r="K3" s="15"/>
    </row>
    <row r="4" spans="2:11" ht="21" customHeight="1" x14ac:dyDescent="0.4">
      <c r="B4" s="1"/>
      <c r="C4" s="10"/>
      <c r="D4" s="2"/>
      <c r="E4" s="2"/>
      <c r="F4" s="2"/>
      <c r="G4" s="2"/>
      <c r="H4" s="3"/>
      <c r="I4" s="5"/>
      <c r="J4" s="9"/>
      <c r="K4" s="15"/>
    </row>
  </sheetData>
  <mergeCells count="1">
    <mergeCell ref="B2:J2"/>
  </mergeCells>
  <conditionalFormatting sqref="I4">
    <cfRule type="cellIs" dxfId="37" priority="1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0691-989D-4F8B-85A0-911A78DA1115}">
  <sheetPr codeName="Planilha7"/>
  <dimension ref="B1:K4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8.88671875" style="15" customWidth="1"/>
    <col min="12" max="16384" width="8.88671875" hidden="1"/>
  </cols>
  <sheetData>
    <row r="1" spans="2:10" ht="51" customHeight="1" x14ac:dyDescent="0.3">
      <c r="B1" s="6" t="e">
        <f>CONCATENATE("Olá, ",LEFT(actv[],1),LOWER(RIGHT(actv[],LEN(actv[])-1)))</f>
        <v>#VALUE!</v>
      </c>
      <c r="C1" s="7"/>
      <c r="D1" s="7"/>
      <c r="E1" s="7"/>
      <c r="F1" s="7"/>
      <c r="G1" s="7"/>
      <c r="H1" s="7"/>
      <c r="I1" s="7"/>
      <c r="J1" s="7"/>
    </row>
    <row r="2" spans="2:10" ht="48" customHeight="1" x14ac:dyDescent="0.3">
      <c r="B2" s="45"/>
      <c r="C2" s="46"/>
      <c r="D2" s="46"/>
      <c r="E2" s="46"/>
      <c r="F2" s="46"/>
      <c r="G2" s="46"/>
      <c r="H2" s="46"/>
      <c r="I2" s="46"/>
      <c r="J2" s="47"/>
    </row>
    <row r="3" spans="2:10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18</v>
      </c>
      <c r="J3" s="4" t="s">
        <v>19</v>
      </c>
    </row>
    <row r="4" spans="2:10" ht="21" customHeight="1" x14ac:dyDescent="0.4">
      <c r="B4" s="26"/>
      <c r="C4" s="10"/>
      <c r="D4" s="2"/>
      <c r="E4" s="2"/>
      <c r="F4" s="2"/>
      <c r="G4" s="2"/>
      <c r="H4" s="3"/>
      <c r="I4" s="5"/>
      <c r="J4" s="9"/>
    </row>
  </sheetData>
  <mergeCells count="1">
    <mergeCell ref="B2:J2"/>
  </mergeCells>
  <conditionalFormatting sqref="I4">
    <cfRule type="cellIs" dxfId="24" priority="52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Acesso</vt:lpstr>
      <vt:lpstr>empty</vt:lpstr>
      <vt:lpstr>Lista!Area_de_impressao</vt:lpstr>
      <vt:lpstr>Cadastro!usersList</vt:lpstr>
      <vt:lpstr>Entrada!usersList</vt:lpstr>
      <vt:lpstr>Estoque!usersList</vt:lpstr>
      <vt:lpstr>Saida!usersList</vt:lpstr>
      <vt:lpstr>usersList</vt:lpstr>
      <vt:lpstr>Acesso!view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2022-09-22T17:29:46Z</cp:lastPrinted>
  <dcterms:created xsi:type="dcterms:W3CDTF">2022-07-02T12:08:15Z</dcterms:created>
  <dcterms:modified xsi:type="dcterms:W3CDTF">2022-09-30T14:10:25Z</dcterms:modified>
</cp:coreProperties>
</file>