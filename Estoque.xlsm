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estoque\"/>
    </mc:Choice>
  </mc:AlternateContent>
  <xr:revisionPtr revIDLastSave="0" documentId="13_ncr:1_{D6B914A8-B789-4B85-A234-B6592675EA12}" xr6:coauthVersionLast="46" xr6:coauthVersionMax="46" xr10:uidLastSave="{00000000-0000-0000-0000-000000000000}"/>
  <bookViews>
    <workbookView showHorizontalScroll="0" showVerticalScroll="0" showSheetTabs="0" xWindow="-108" yWindow="-108" windowWidth="23256" windowHeight="12456" tabRatio="0" activeTab="1" xr2:uid="{00000000-000D-0000-FFFF-FFFF00000000}"/>
  </bookViews>
  <sheets>
    <sheet name="Acesso" sheetId="4" r:id="rId1"/>
    <sheet name="empty" sheetId="5" r:id="rId2"/>
    <sheet name="Usuarios" sheetId="3" state="veryHidden" r:id="rId3"/>
    <sheet name="Cadastro" sheetId="8" state="veryHidden" r:id="rId4"/>
    <sheet name="Estoque" sheetId="9" state="veryHidden" r:id="rId5"/>
    <sheet name="Lista" sheetId="10" state="veryHidden" r:id="rId6"/>
    <sheet name="Controle" sheetId="1" state="veryHidden" r:id="rId7"/>
    <sheet name="Entrada" sheetId="6" state="veryHidden" r:id="rId8"/>
    <sheet name="Saida" sheetId="7" state="veryHidden" r:id="rId9"/>
  </sheets>
  <functionGroups builtInGroupCount="19"/>
  <definedNames>
    <definedName name="_xlnm.Print_Area" localSheetId="5">Lista!$B$1:$E$3</definedName>
    <definedName name="usersList" localSheetId="3">users[id]</definedName>
    <definedName name="usersList" localSheetId="7">users[id]</definedName>
    <definedName name="usersList" localSheetId="4">users[id]</definedName>
    <definedName name="usersList" localSheetId="8">users[id]</definedName>
    <definedName name="usersList">users[id]</definedName>
    <definedName name="view" localSheetId="0">Acesso!$B$1:$W$31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1" i="10" l="1"/>
  <c r="B1" i="7"/>
  <c r="B1" i="6"/>
  <c r="B1" i="9"/>
  <c r="B1" i="8"/>
  <c r="J5" i="3"/>
</calcChain>
</file>

<file path=xl/sharedStrings.xml><?xml version="1.0" encoding="utf-8"?>
<sst xmlns="http://schemas.openxmlformats.org/spreadsheetml/2006/main" count="53" uniqueCount="29">
  <si>
    <t>CODIGO DE BARRAS</t>
  </si>
  <si>
    <t>CODIGO INTERNO</t>
  </si>
  <si>
    <t>PRODUTO</t>
  </si>
  <si>
    <t>QUANTIDADE</t>
  </si>
  <si>
    <t>ESTOQUE</t>
  </si>
  <si>
    <t>DATA</t>
  </si>
  <si>
    <t>HORA</t>
  </si>
  <si>
    <t>CODIGO HERDEIRO</t>
  </si>
  <si>
    <t>USUARIO</t>
  </si>
  <si>
    <t>id</t>
  </si>
  <si>
    <t>admin</t>
  </si>
  <si>
    <t>password</t>
  </si>
  <si>
    <t>ativo</t>
  </si>
  <si>
    <t>ENTRADA</t>
  </si>
  <si>
    <t>MOTIVO DA ENTRADA</t>
  </si>
  <si>
    <t>TIPO</t>
  </si>
  <si>
    <t>OBSERVAÇÕES</t>
  </si>
  <si>
    <t>Nº</t>
  </si>
  <si>
    <t>SAIDA</t>
  </si>
  <si>
    <t>MOTIVO DA RETIRADA</t>
  </si>
  <si>
    <t>Bem Vindo, Administrador</t>
  </si>
  <si>
    <t>LIMITE DE ESTOQUE</t>
  </si>
  <si>
    <t>STATUS</t>
  </si>
  <si>
    <t>LIMITE</t>
  </si>
  <si>
    <t>CODIGO</t>
  </si>
  <si>
    <t>COMPRA MINIMA</t>
  </si>
  <si>
    <t>RECOMENDADO</t>
  </si>
  <si>
    <t>acesso</t>
  </si>
  <si>
    <t>ultimo acesso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</si>
</sst>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\+\ 0;[Red]\-_.\ 0"/>
    <numFmt numFmtId="165" formatCode="h:mm:ss"/>
    <numFmt numFmtId="166" formatCode=";;;&quot;********&quot;"/>
    <numFmt numFmtId="167" formatCode="&quot;********&quot;;&quot;********&quot;;&quot;********&quot;;&quot;********&quot;"/>
    <numFmt numFmtId="168" formatCode="m/d/yyyy"/>
  </numFmts>
  <fonts count="1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6"/>
      <color theme="1" tint="0.249977111117893"/>
      <name val="Century Gothic"/>
      <family val="2"/>
    </font>
    <font>
      <sz val="11"/>
      <color theme="0" tint="-0.14999847407452621"/>
      <name val="Calibri"/>
      <family val="2"/>
      <scheme val="minor"/>
    </font>
    <font>
      <sz val="10"/>
      <color theme="1"/>
      <name val="Segoe UI"/>
      <family val="2"/>
    </font>
    <font>
      <b/>
      <sz val="16"/>
      <color theme="1"/>
      <name val="Century Gothic"/>
      <family val="2"/>
    </font>
    <font>
      <sz val="11"/>
      <name val="Calibri"/>
      <family val="2"/>
      <scheme val="minor"/>
    </font>
    <font>
      <sz val="12"/>
      <color theme="1"/>
      <name val="Segoe UI"/>
      <family val="2"/>
    </font>
    <font>
      <sz val="12"/>
      <name val="Segoe UI"/>
      <family val="2"/>
    </font>
    <font>
      <sz val="12"/>
      <color theme="1"/>
      <name val="Segoe UI Light"/>
      <family val="2"/>
    </font>
    <font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gradientFill degree="90">
        <stop position="0">
          <color rgb="FFFFFF66"/>
        </stop>
        <stop position="1">
          <color rgb="FFFFFF0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C1FFE0"/>
        <bgColor indexed="64"/>
      </patternFill>
    </fill>
    <fill>
      <gradientFill degree="45">
        <stop position="0">
          <color theme="0"/>
        </stop>
        <stop position="1">
          <color rgb="FFCDFFEB"/>
        </stop>
      </gradientFill>
    </fill>
    <fill>
      <gradientFill degree="45">
        <stop position="0">
          <color rgb="FFE1FFF3"/>
        </stop>
        <stop position="1">
          <color rgb="FFCDFFEB"/>
        </stop>
      </gradientFill>
    </fill>
    <fill>
      <gradientFill degree="90">
        <stop position="0">
          <color theme="0"/>
        </stop>
        <stop position="1">
          <color rgb="FFE1FFF3"/>
        </stop>
      </gradientFill>
    </fill>
    <fill>
      <gradientFill degree="90">
        <stop position="0">
          <color rgb="FFE1FFF3"/>
        </stop>
        <stop position="1">
          <color rgb="FFCDFFEB"/>
        </stop>
      </gradientFill>
    </fill>
    <fill>
      <patternFill patternType="solid">
        <fgColor rgb="FFFFFF00"/>
        <bgColor indexed="64"/>
      </patternFill>
    </fill>
    <fill>
      <gradientFill degree="90">
        <stop position="0">
          <color rgb="FFFFB9B9"/>
        </stop>
        <stop position="1">
          <color rgb="FFFF8585"/>
        </stop>
      </gradientFill>
    </fill>
    <fill>
      <gradientFill degree="90">
        <stop position="0">
          <color rgb="FFC5FDB1"/>
        </stop>
        <stop position="1">
          <color rgb="FF85FB5B"/>
        </stop>
      </gradientFill>
    </fill>
    <fill>
      <patternFill patternType="solid">
        <fgColor rgb="FFE6E6E6"/>
        <bgColor indexed="64"/>
      </patternFill>
    </fill>
    <fill>
      <patternFill patternType="solid">
        <fgColor rgb="FFE6E6E6"/>
        <bgColor auto="1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14996795556505021"/>
      </left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/>
      <right style="thin">
        <color theme="1" tint="0.14996795556505021"/>
      </right>
      <top style="thin">
        <color theme="1" tint="0.14996795556505021"/>
      </top>
      <bottom/>
      <diagonal/>
    </border>
    <border>
      <left style="thin">
        <color theme="1" tint="0.14993743705557422"/>
      </left>
      <right/>
      <top style="thin">
        <color theme="1" tint="0.14993743705557422"/>
      </top>
      <bottom style="thin">
        <color theme="1" tint="0.14993743705557422"/>
      </bottom>
      <diagonal/>
    </border>
    <border>
      <left/>
      <right/>
      <top style="thin">
        <color theme="1" tint="0.14993743705557422"/>
      </top>
      <bottom style="thin">
        <color theme="1" tint="0.14993743705557422"/>
      </bottom>
      <diagonal/>
    </border>
    <border>
      <left/>
      <right style="thin">
        <color theme="1" tint="0.14993743705557422"/>
      </right>
      <top style="thin">
        <color theme="1" tint="0.14993743705557422"/>
      </top>
      <bottom style="thin">
        <color theme="1" tint="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4" fillId="3" borderId="0" xfId="0" applyFont="1" applyFill="1" applyAlignment="1">
      <alignment vertical="top"/>
    </xf>
    <xf numFmtId="0" fontId="4" fillId="3" borderId="0" xfId="0" applyFont="1" applyFill="1"/>
    <xf numFmtId="0" fontId="0" fillId="4" borderId="0" xfId="0" applyFill="1"/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3" borderId="0" xfId="0" applyFill="1"/>
    <xf numFmtId="0" fontId="0" fillId="12" borderId="0" xfId="0" applyFill="1"/>
    <xf numFmtId="0" fontId="4" fillId="12" borderId="0" xfId="0" applyFont="1" applyFill="1"/>
    <xf numFmtId="0" fontId="3" fillId="13" borderId="0" xfId="0" applyFont="1" applyFill="1" applyAlignment="1">
      <alignment horizontal="left" vertical="center" indent="3"/>
    </xf>
    <xf numFmtId="0" fontId="5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4" fontId="7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 indent="1"/>
    </xf>
    <xf numFmtId="0" fontId="11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7" borderId="0" xfId="0" applyFill="1"/>
    <xf numFmtId="0" fontId="3" fillId="2" borderId="8" xfId="0" applyFont="1" applyFill="1" applyBorder="1" applyAlignment="1">
      <alignment horizontal="left" vertical="center" indent="3"/>
    </xf>
    <xf numFmtId="0" fontId="3" fillId="2" borderId="9" xfId="0" applyFont="1" applyFill="1" applyBorder="1" applyAlignment="1">
      <alignment horizontal="left" vertical="center" indent="3"/>
    </xf>
    <xf numFmtId="0" fontId="3" fillId="2" borderId="10" xfId="0" applyFont="1" applyFill="1" applyBorder="1" applyAlignment="1">
      <alignment horizontal="left" vertical="center" indent="3"/>
    </xf>
    <xf numFmtId="0" fontId="3" fillId="2" borderId="4" xfId="0" applyFont="1" applyFill="1" applyBorder="1" applyAlignment="1">
      <alignment horizontal="left" vertical="center" indent="3"/>
    </xf>
    <xf numFmtId="0" fontId="3" fillId="2" borderId="5" xfId="0" applyFont="1" applyFill="1" applyBorder="1" applyAlignment="1">
      <alignment horizontal="left" vertical="center" indent="3"/>
    </xf>
    <xf numFmtId="0" fontId="3" fillId="2" borderId="6" xfId="0" applyFont="1" applyFill="1" applyBorder="1" applyAlignment="1">
      <alignment horizontal="left" vertical="center" indent="3"/>
    </xf>
    <xf numFmtId="0" fontId="3" fillId="2" borderId="7" xfId="0" applyFont="1" applyFill="1" applyBorder="1" applyAlignment="1">
      <alignment horizontal="left" vertical="center" indent="3"/>
    </xf>
    <xf numFmtId="0" fontId="6" fillId="14" borderId="1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left" vertical="center" indent="1"/>
    </xf>
    <xf numFmtId="1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 indent="1"/>
    </xf>
    <xf numFmtId="1" fontId="9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horizontal="left" vertical="center" indent="1"/>
    </xf>
    <xf numFmtId="0" fontId="8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168" fontId="8" fillId="0" borderId="0" xfId="0" applyNumberFormat="1" applyFont="1" applyAlignment="1">
      <alignment horizontal="center" vertical="center"/>
    </xf>
    <xf numFmtId="49" fontId="8" fillId="9" borderId="0" xfId="0" applyNumberFormat="1" applyFont="1" applyFill="1" applyAlignment="1">
      <alignment horizontal="left" vertical="center" indent="1"/>
    </xf>
  </cellXfs>
  <cellStyles count="1">
    <cellStyle name="Normal" xfId="0" builtinId="0"/>
  </cellStyles>
  <dxfs count="82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7EA"/>
        </patternFill>
      </fill>
    </dxf>
    <dxf>
      <fill>
        <patternFill>
          <bgColor rgb="FFFFFF99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4646"/>
        </patternFill>
      </fill>
      <border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4" formatCode="\+\ 0;[Red]\-_.\ 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4" formatCode="\+\ 0;[Red]\-_.\ 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30" formatCode="@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30" formatCode="@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30" formatCode="@"/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5" formatCode="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8" formatCode="m/d/yyyy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5" formatCode="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4" formatCode="\+\ 0;[Red]\-_.\ 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65" formatCode="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color theme="1"/>
        <name val="Segoe UI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Segoe UI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168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;;;&quot;********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color theme="1" tint="0.34998626667073579"/>
      </font>
      <fill>
        <patternFill>
          <bgColor theme="0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  <horizontal/>
      </border>
    </dxf>
    <dxf>
      <font>
        <b/>
        <i val="0"/>
        <color theme="0"/>
      </font>
      <fill>
        <patternFill>
          <bgColor theme="1" tint="0.24994659260841701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0" tint="-0.14996795556505021"/>
        </vertical>
        <horizontal style="thin">
          <color theme="0" tint="-0.24994659260841701"/>
        </horizontal>
      </border>
    </dxf>
  </dxfs>
  <tableStyles count="1" defaultTableStyle="TableStyleMedium2" defaultPivotStyle="PivotStyleLight16">
    <tableStyle name="Estilo de Tabela 1" pivot="0" count="4" xr9:uid="{00000000-0011-0000-FFFF-FFFF00000000}">
      <tableStyleElement type="wholeTable" dxfId="81"/>
      <tableStyleElement type="headerRow" dxfId="80"/>
      <tableStyleElement type="firstColumn" dxfId="79"/>
      <tableStyleElement type="secondRowStripe" dxfId="78"/>
    </tableStyle>
  </tableStyles>
  <colors>
    <mruColors>
      <color rgb="FFFF6565"/>
      <color rgb="FFE6E6E6"/>
      <color rgb="FFFFEBEB"/>
      <color rgb="FFFFE6EB"/>
      <color rgb="FFFFE6E6"/>
      <color rgb="FFFFDEDD"/>
      <color rgb="FFFFCECD"/>
      <color rgb="FFFF8885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Nov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astr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367665</xdr:colOff>
      <xdr:row>7</xdr:row>
      <xdr:rowOff>76200</xdr:rowOff>
    </xdr:from>
    <xdr:to>
      <xdr:col>21</xdr:col>
      <xdr:colOff>436245</xdr:colOff>
      <xdr:row>26</xdr:row>
      <xdr:rowOff>53340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11665" y="1173480"/>
          <a:ext cx="3726180" cy="3451860"/>
        </a:xfrm>
        <a:prstGeom prst="roundRect">
          <a:avLst>
            <a:gd name="adj" fmla="val 2072"/>
          </a:avLst>
        </a:prstGeom>
        <a:solidFill>
          <a:schemeClr val="bg1"/>
        </a:solidFill>
        <a:ln>
          <a:noFill/>
        </a:ln>
        <a:effectLst>
          <a:outerShdw blurRad="76200" dist="50800" dir="2700000" algn="tl" rotWithShape="0">
            <a:prstClr val="black">
              <a:alpha val="3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88000" tIns="180000" bIns="108000" rtlCol="0" anchor="t"/>
        <a:lstStyle/>
        <a:p>
          <a:pPr marL="0" marR="0" lvl="0" indent="0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solidFill>
                  <a:prstClr val="black">
                    <a:lumMod val="75000"/>
                    <a:lumOff val="25000"/>
                  </a:prstClr>
                </a:solidFill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Bem-vindo</a:t>
          </a:r>
        </a:p>
        <a:p>
          <a:pPr marL="0" marR="0" lvl="0" indent="0" defTabSz="914400" eaLnBrk="1" fontAlgn="auto" latinLnBrk="0" hangingPunct="1">
            <a:lnSpc>
              <a:spcPct val="2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solidFill>
                <a:prstClr val="black">
                  <a:lumMod val="75000"/>
                  <a:lumOff val="25000"/>
                </a:prstClr>
              </a:solidFill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Usuário</a:t>
          </a: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Senha</a:t>
          </a: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chemeClr val="lt1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18</xdr:row>
      <xdr:rowOff>91440</xdr:rowOff>
    </xdr:from>
    <xdr:to>
      <xdr:col>21</xdr:col>
      <xdr:colOff>121155</xdr:colOff>
      <xdr:row>20</xdr:row>
      <xdr:rowOff>85680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826755" y="320040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13</xdr:row>
      <xdr:rowOff>152400</xdr:rowOff>
    </xdr:from>
    <xdr:to>
      <xdr:col>21</xdr:col>
      <xdr:colOff>121155</xdr:colOff>
      <xdr:row>15</xdr:row>
      <xdr:rowOff>146640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826755" y="234696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144780</xdr:colOff>
          <xdr:row>14</xdr:row>
          <xdr:rowOff>45720</xdr:rowOff>
        </xdr:from>
        <xdr:to>
          <xdr:col>21</xdr:col>
          <xdr:colOff>53340</xdr:colOff>
          <xdr:row>15</xdr:row>
          <xdr:rowOff>114300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144780</xdr:colOff>
          <xdr:row>18</xdr:row>
          <xdr:rowOff>160020</xdr:rowOff>
        </xdr:from>
        <xdr:to>
          <xdr:col>21</xdr:col>
          <xdr:colOff>53340</xdr:colOff>
          <xdr:row>20</xdr:row>
          <xdr:rowOff>45720</xdr:rowOff>
        </xdr:to>
        <xdr:sp macro="" textlink="">
          <xdr:nvSpPr>
            <xdr:cNvPr id="1026" name="Text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365760</xdr:colOff>
          <xdr:row>35</xdr:row>
          <xdr:rowOff>106680</xdr:rowOff>
        </xdr:from>
        <xdr:to>
          <xdr:col>23</xdr:col>
          <xdr:colOff>594360</xdr:colOff>
          <xdr:row>37</xdr:row>
          <xdr:rowOff>0</xdr:rowOff>
        </xdr:to>
        <xdr:sp macro="" textlink="">
          <xdr:nvSpPr>
            <xdr:cNvPr id="1032" name="logginBt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243840</xdr:colOff>
      <xdr:row>22</xdr:row>
      <xdr:rowOff>130675</xdr:rowOff>
    </xdr:from>
    <xdr:to>
      <xdr:col>19</xdr:col>
      <xdr:colOff>560070</xdr:colOff>
      <xdr:row>24</xdr:row>
      <xdr:rowOff>128405</xdr:rowOff>
    </xdr:to>
    <xdr:sp macro="[0]!loggin_A" textlink="">
      <xdr:nvSpPr>
        <xdr:cNvPr id="10" name="logginStyl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607040" y="3971155"/>
          <a:ext cx="1535430" cy="363490"/>
        </a:xfrm>
        <a:prstGeom prst="roundRect">
          <a:avLst>
            <a:gd name="adj" fmla="val 39081"/>
          </a:avLst>
        </a:prstGeom>
        <a:gradFill>
          <a:gsLst>
            <a:gs pos="0">
              <a:srgbClr val="00C0B2">
                <a:lumMod val="60000"/>
                <a:lumOff val="40000"/>
              </a:srgbClr>
            </a:gs>
            <a:gs pos="60000">
              <a:srgbClr val="00C0B2"/>
            </a:gs>
            <a:gs pos="83000">
              <a:srgbClr val="00C0B2">
                <a:lumMod val="100000"/>
              </a:srgbClr>
            </a:gs>
            <a:gs pos="100000">
              <a:srgbClr val="00C0B2">
                <a:lumMod val="95000"/>
                <a:lumOff val="5000"/>
              </a:srgbClr>
            </a:gs>
          </a:gsLst>
          <a:lin ang="5400000" scaled="1"/>
        </a:gradFill>
        <a:ln w="6350" cap="flat" cmpd="sng" algn="ctr">
          <a:noFill/>
          <a:prstDash val="dash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tx1"/>
              </a:solidFill>
              <a:prstDash val="dash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ACESSAR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982980</xdr:colOff>
      <xdr:row>2</xdr:row>
      <xdr:rowOff>7620</xdr:rowOff>
    </xdr:from>
    <xdr:to>
      <xdr:col>7</xdr:col>
      <xdr:colOff>7620</xdr:colOff>
      <xdr:row>3</xdr:row>
      <xdr:rowOff>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766060" y="960120"/>
          <a:ext cx="4587240" cy="66294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286682</xdr:colOff>
      <xdr:row>2</xdr:row>
      <xdr:rowOff>151411</xdr:rowOff>
    </xdr:from>
    <xdr:ext cx="1712636" cy="375359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4203362" y="1103911"/>
          <a:ext cx="1712636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LISTA</a:t>
          </a:r>
          <a:r>
            <a:rPr lang="en-US" sz="14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 DE USUARIOS</a:t>
          </a:r>
          <a:endParaRPr lang="en-US" sz="14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0</xdr:colOff>
      <xdr:row>2</xdr:row>
      <xdr:rowOff>0</xdr:rowOff>
    </xdr:from>
    <xdr:to>
      <xdr:col>1</xdr:col>
      <xdr:colOff>1764000</xdr:colOff>
      <xdr:row>19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0" y="640080"/>
          <a:ext cx="1764000" cy="390906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0</xdr:colOff>
      <xdr:row>1</xdr:row>
      <xdr:rowOff>15240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0" y="0"/>
          <a:ext cx="12298680" cy="65532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62937</xdr:colOff>
      <xdr:row>0</xdr:row>
      <xdr:rowOff>52493</xdr:rowOff>
    </xdr:from>
    <xdr:ext cx="1278184" cy="444352"/>
    <xdr:sp macro="" textlink="B1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62937" y="52493"/>
          <a:ext cx="1278184" cy="4443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6DD5F04-547D-42B7-AF46-94B69FD409B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/>
            <a:t>Bem Vindo, Administrador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3</xdr:row>
      <xdr:rowOff>7620</xdr:rowOff>
    </xdr:from>
    <xdr:to>
      <xdr:col>1</xdr:col>
      <xdr:colOff>1764000</xdr:colOff>
      <xdr:row>5</xdr:row>
      <xdr:rowOff>198420</xdr:rowOff>
    </xdr:to>
    <xdr:sp macro="" textlink="">
      <xdr:nvSpPr>
        <xdr:cNvPr id="16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195834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oneCell">
    <xdr:from>
      <xdr:col>0</xdr:col>
      <xdr:colOff>0</xdr:colOff>
      <xdr:row>5</xdr:row>
      <xdr:rowOff>196215</xdr:rowOff>
    </xdr:from>
    <xdr:to>
      <xdr:col>1</xdr:col>
      <xdr:colOff>1764000</xdr:colOff>
      <xdr:row>8</xdr:row>
      <xdr:rowOff>158415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260413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oneCell">
    <xdr:from>
      <xdr:col>0</xdr:col>
      <xdr:colOff>0</xdr:colOff>
      <xdr:row>8</xdr:row>
      <xdr:rowOff>156210</xdr:rowOff>
    </xdr:from>
    <xdr:to>
      <xdr:col>1</xdr:col>
      <xdr:colOff>1764000</xdr:colOff>
      <xdr:row>11</xdr:row>
      <xdr:rowOff>118410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0" y="324993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oneCell">
    <xdr:from>
      <xdr:col>0</xdr:col>
      <xdr:colOff>0</xdr:colOff>
      <xdr:row>11</xdr:row>
      <xdr:rowOff>116205</xdr:rowOff>
    </xdr:from>
    <xdr:to>
      <xdr:col>1</xdr:col>
      <xdr:colOff>1764000</xdr:colOff>
      <xdr:row>14</xdr:row>
      <xdr:rowOff>78405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0" y="389572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13</xdr:col>
      <xdr:colOff>230576</xdr:colOff>
      <xdr:row>0</xdr:row>
      <xdr:rowOff>105833</xdr:rowOff>
    </xdr:from>
    <xdr:to>
      <xdr:col>14</xdr:col>
      <xdr:colOff>223039</xdr:colOff>
      <xdr:row>0</xdr:row>
      <xdr:rowOff>371098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1176725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4" name="Conector de Seta Reta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D3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oneCell">
    <xdr:from>
      <xdr:col>0</xdr:col>
      <xdr:colOff>0</xdr:colOff>
      <xdr:row>14</xdr:row>
      <xdr:rowOff>76200</xdr:rowOff>
    </xdr:from>
    <xdr:to>
      <xdr:col>1</xdr:col>
      <xdr:colOff>1764000</xdr:colOff>
      <xdr:row>17</xdr:row>
      <xdr:rowOff>38400</xdr:rowOff>
    </xdr:to>
    <xdr:sp macro="" textlink="">
      <xdr:nvSpPr>
        <xdr:cNvPr id="25" name="Retângulo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454152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2</xdr:col>
      <xdr:colOff>899249</xdr:colOff>
      <xdr:row>0</xdr:row>
      <xdr:rowOff>144780</xdr:rowOff>
    </xdr:from>
    <xdr:ext cx="5821503" cy="375359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682329" y="14478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PAINEL</a:t>
          </a:r>
          <a:r>
            <a:rPr lang="en-US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 DE CONFIGURAÇÕES DO ADMINISTRADOR</a:t>
          </a:r>
          <a:endParaRPr lang="en-US" sz="16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</a:endParaRPr>
        </a:p>
      </xdr:txBody>
    </xdr:sp>
    <xdr:clientData/>
  </xdr:oneCellAnchor>
  <xdr:oneCellAnchor>
    <xdr:from>
      <xdr:col>1</xdr:col>
      <xdr:colOff>62850</xdr:colOff>
      <xdr:row>2</xdr:row>
      <xdr:rowOff>160020</xdr:rowOff>
    </xdr:from>
    <xdr:ext cx="1638300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62850" y="800100"/>
          <a:ext cx="1638300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LINKS DE ACESSO</a:t>
          </a:r>
        </a:p>
      </xdr:txBody>
    </xdr:sp>
    <xdr:clientData/>
  </xdr:oneCellAnchor>
  <xdr:twoCellAnchor>
    <xdr:from>
      <xdr:col>2</xdr:col>
      <xdr:colOff>982980</xdr:colOff>
      <xdr:row>12</xdr:row>
      <xdr:rowOff>7620</xdr:rowOff>
    </xdr:from>
    <xdr:to>
      <xdr:col>7</xdr:col>
      <xdr:colOff>7620</xdr:colOff>
      <xdr:row>19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766060" y="3147060"/>
          <a:ext cx="1844040" cy="140970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CADASTRO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oneCellAnchor>
    <xdr:from>
      <xdr:col>5</xdr:col>
      <xdr:colOff>4288053</xdr:colOff>
      <xdr:row>1</xdr:row>
      <xdr:rowOff>137380</xdr:rowOff>
    </xdr:from>
    <xdr:ext cx="1726134" cy="348502"/>
    <xdr:sp macro="[0]!iniciaCadastro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9873513" y="785080"/>
          <a:ext cx="1726134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CADASTRAR PRODUTO</a:t>
          </a:r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300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0" y="0"/>
          <a:ext cx="1360932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6</xdr:col>
      <xdr:colOff>982980</xdr:colOff>
      <xdr:row>0</xdr:row>
      <xdr:rowOff>105833</xdr:rowOff>
    </xdr:from>
    <xdr:to>
      <xdr:col>6</xdr:col>
      <xdr:colOff>1668863</xdr:colOff>
      <xdr:row>0</xdr:row>
      <xdr:rowOff>371098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pSpPr/>
      </xdr:nvGrpSpPr>
      <xdr:grpSpPr>
        <a:xfrm>
          <a:off x="10949940" y="105833"/>
          <a:ext cx="685883" cy="265265"/>
          <a:chOff x="12712136" y="105833"/>
          <a:chExt cx="685883" cy="26526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36" name="Conector de Seta Reta 35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34" name="CaixaDeTexto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2</xdr:col>
      <xdr:colOff>1086540</xdr:colOff>
      <xdr:row>0</xdr:row>
      <xdr:rowOff>0</xdr:rowOff>
    </xdr:from>
    <xdr:to>
      <xdr:col>3</xdr:col>
      <xdr:colOff>937920</xdr:colOff>
      <xdr:row>1</xdr:row>
      <xdr:rowOff>300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859845</xdr:colOff>
      <xdr:row>0</xdr:row>
      <xdr:rowOff>0</xdr:rowOff>
    </xdr:from>
    <xdr:to>
      <xdr:col>4</xdr:col>
      <xdr:colOff>1480845</xdr:colOff>
      <xdr:row>1</xdr:row>
      <xdr:rowOff>300</xdr:rowOff>
    </xdr:to>
    <xdr:sp macro="" textlink="">
      <xdr:nvSpPr>
        <xdr:cNvPr id="38" name="Retângulo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1402770</xdr:colOff>
      <xdr:row>0</xdr:row>
      <xdr:rowOff>0</xdr:rowOff>
    </xdr:from>
    <xdr:to>
      <xdr:col>5</xdr:col>
      <xdr:colOff>1254150</xdr:colOff>
      <xdr:row>1</xdr:row>
      <xdr:rowOff>300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5</xdr:col>
      <xdr:colOff>1176075</xdr:colOff>
      <xdr:row>0</xdr:row>
      <xdr:rowOff>0</xdr:rowOff>
    </xdr:from>
    <xdr:to>
      <xdr:col>5</xdr:col>
      <xdr:colOff>2940075</xdr:colOff>
      <xdr:row>1</xdr:row>
      <xdr:rowOff>300</xdr:rowOff>
    </xdr:to>
    <xdr:sp macro="" textlink="">
      <xdr:nvSpPr>
        <xdr:cNvPr id="40" name="Retângulo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5</xdr:col>
      <xdr:colOff>2862000</xdr:colOff>
      <xdr:row>0</xdr:row>
      <xdr:rowOff>0</xdr:rowOff>
    </xdr:from>
    <xdr:to>
      <xdr:col>6</xdr:col>
      <xdr:colOff>244500</xdr:colOff>
      <xdr:row>1</xdr:row>
      <xdr:rowOff>300</xdr:rowOff>
    </xdr:to>
    <xdr:sp macro="" textlink="">
      <xdr:nvSpPr>
        <xdr:cNvPr id="41" name="Retângulo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155494</xdr:colOff>
      <xdr:row>1</xdr:row>
      <xdr:rowOff>137379</xdr:rowOff>
    </xdr:from>
    <xdr:to>
      <xdr:col>9</xdr:col>
      <xdr:colOff>1631364</xdr:colOff>
      <xdr:row>1</xdr:row>
      <xdr:rowOff>485881</xdr:rowOff>
    </xdr:to>
    <xdr:sp macro="[0]!listaCompr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9694" y="785079"/>
          <a:ext cx="1475870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LISTA DE COMPRA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900</xdr:colOff>
      <xdr:row>1</xdr:row>
      <xdr:rowOff>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1382358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9</xdr:col>
      <xdr:colOff>1003316</xdr:colOff>
      <xdr:row>0</xdr:row>
      <xdr:rowOff>105833</xdr:rowOff>
    </xdr:from>
    <xdr:to>
      <xdr:col>9</xdr:col>
      <xdr:colOff>1689199</xdr:colOff>
      <xdr:row>0</xdr:row>
      <xdr:rowOff>371098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11747516" y="105833"/>
          <a:ext cx="685883" cy="265265"/>
          <a:chOff x="12712136" y="105833"/>
          <a:chExt cx="685883" cy="265265"/>
        </a:xfrm>
      </xdr:grpSpPr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9" name="Conector de Seta Reta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ESTOQUE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absolute">
    <xdr:from>
      <xdr:col>4</xdr:col>
      <xdr:colOff>1086540</xdr:colOff>
      <xdr:row>0</xdr:row>
      <xdr:rowOff>0</xdr:rowOff>
    </xdr:from>
    <xdr:to>
      <xdr:col>5</xdr:col>
      <xdr:colOff>937920</xdr:colOff>
      <xdr:row>1</xdr:row>
      <xdr:rowOff>300</xdr:rowOff>
    </xdr:to>
    <xdr:sp macro="" textlink="">
      <xdr:nvSpPr>
        <xdr:cNvPr id="11" name="Retângul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5</xdr:col>
      <xdr:colOff>859845</xdr:colOff>
      <xdr:row>0</xdr:row>
      <xdr:rowOff>0</xdr:rowOff>
    </xdr:from>
    <xdr:to>
      <xdr:col>5</xdr:col>
      <xdr:colOff>2623845</xdr:colOff>
      <xdr:row>1</xdr:row>
      <xdr:rowOff>300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5</xdr:col>
      <xdr:colOff>2545770</xdr:colOff>
      <xdr:row>0</xdr:row>
      <xdr:rowOff>0</xdr:rowOff>
    </xdr:from>
    <xdr:to>
      <xdr:col>5</xdr:col>
      <xdr:colOff>4254525</xdr:colOff>
      <xdr:row>1</xdr:row>
      <xdr:rowOff>300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5</xdr:col>
      <xdr:colOff>4224075</xdr:colOff>
      <xdr:row>0</xdr:row>
      <xdr:rowOff>0</xdr:rowOff>
    </xdr:from>
    <xdr:to>
      <xdr:col>8</xdr:col>
      <xdr:colOff>82575</xdr:colOff>
      <xdr:row>1</xdr:row>
      <xdr:rowOff>300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8</xdr:col>
      <xdr:colOff>4500</xdr:colOff>
      <xdr:row>0</xdr:row>
      <xdr:rowOff>0</xdr:rowOff>
    </xdr:from>
    <xdr:to>
      <xdr:col>8</xdr:col>
      <xdr:colOff>1730400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>
    <xdr:from>
      <xdr:col>8</xdr:col>
      <xdr:colOff>317865</xdr:colOff>
      <xdr:row>1</xdr:row>
      <xdr:rowOff>137379</xdr:rowOff>
    </xdr:from>
    <xdr:to>
      <xdr:col>8</xdr:col>
      <xdr:colOff>2215754</xdr:colOff>
      <xdr:row>1</xdr:row>
      <xdr:rowOff>485881</xdr:rowOff>
    </xdr:to>
    <xdr:sp macro="[0]!listaEstoqueB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8776065" y="785079"/>
          <a:ext cx="1897889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LISTA DE ESTOQUE BAIXO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1296924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60960</xdr:colOff>
      <xdr:row>0</xdr:row>
      <xdr:rowOff>105833</xdr:rowOff>
    </xdr:from>
    <xdr:ext cx="95750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0960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rtlCol="0" anchor="t">
          <a:spAutoFit/>
        </a:bodyPr>
        <a:lstStyle/>
        <a:p>
          <a:fld id="{3BF3F348-CCB6-4EEF-BC4D-41B8D7F3855D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rgbClr val="D9D9D9"/>
              </a:solidFill>
              <a:latin typeface="Century Gothic" panose="020B0502020202020204" pitchFamily="34" charset="0"/>
              <a:cs typeface="Calibri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3</xdr:col>
      <xdr:colOff>1036980</xdr:colOff>
      <xdr:row>1</xdr:row>
      <xdr:rowOff>300</xdr:rowOff>
    </xdr:to>
    <xdr:sp macro="" textlink="">
      <xdr:nvSpPr>
        <xdr:cNvPr id="23" name="Retângulo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958905</xdr:colOff>
      <xdr:row>0</xdr:row>
      <xdr:rowOff>0</xdr:rowOff>
    </xdr:from>
    <xdr:to>
      <xdr:col>4</xdr:col>
      <xdr:colOff>1198905</xdr:colOff>
      <xdr:row>1</xdr:row>
      <xdr:rowOff>300</xdr:rowOff>
    </xdr:to>
    <xdr:sp macro="" textlink="">
      <xdr:nvSpPr>
        <xdr:cNvPr id="25" name="Retângulo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1120830</xdr:colOff>
      <xdr:row>0</xdr:row>
      <xdr:rowOff>0</xdr:rowOff>
    </xdr:from>
    <xdr:to>
      <xdr:col>5</xdr:col>
      <xdr:colOff>1360830</xdr:colOff>
      <xdr:row>1</xdr:row>
      <xdr:rowOff>300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HISTORICO DE</a:t>
          </a:r>
          <a:b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</a:br>
          <a: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MOVIMENTAÇÃO</a:t>
          </a:r>
          <a:endParaRPr lang="pt-BR" sz="100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absolute">
    <xdr:from>
      <xdr:col>5</xdr:col>
      <xdr:colOff>1282755</xdr:colOff>
      <xdr:row>0</xdr:row>
      <xdr:rowOff>0</xdr:rowOff>
    </xdr:from>
    <xdr:to>
      <xdr:col>6</xdr:col>
      <xdr:colOff>1484655</xdr:colOff>
      <xdr:row>1</xdr:row>
      <xdr:rowOff>300</xdr:rowOff>
    </xdr:to>
    <xdr:sp macro="" textlink="">
      <xdr:nvSpPr>
        <xdr:cNvPr id="27" name="Retângulo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0</xdr:colOff>
      <xdr:row>1</xdr:row>
      <xdr:rowOff>120930</xdr:rowOff>
    </xdr:from>
    <xdr:ext cx="5821503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HISTORICO DE MOVIMENTAÇÕES DE ESTOQUE</a:t>
          </a:r>
        </a:p>
      </xdr:txBody>
    </xdr:sp>
    <xdr:clientData/>
  </xdr:oneCellAnchor>
  <xdr:twoCellAnchor editAs="oneCell">
    <xdr:from>
      <xdr:col>7</xdr:col>
      <xdr:colOff>3229285</xdr:colOff>
      <xdr:row>1</xdr:row>
      <xdr:rowOff>140149</xdr:rowOff>
    </xdr:from>
    <xdr:to>
      <xdr:col>8</xdr:col>
      <xdr:colOff>1200579</xdr:colOff>
      <xdr:row>1</xdr:row>
      <xdr:rowOff>488651</xdr:rowOff>
    </xdr:to>
    <xdr:sp macro="[0]!iniciaMovimentac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809405" y="787849"/>
          <a:ext cx="1781294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ESTOQUE</a:t>
          </a:r>
        </a:p>
      </xdr:txBody>
    </xdr:sp>
    <xdr:clientData/>
  </xdr:twoCellAnchor>
  <xdr:twoCellAnchor editAs="oneCell">
    <xdr:from>
      <xdr:col>8</xdr:col>
      <xdr:colOff>619196</xdr:colOff>
      <xdr:row>0</xdr:row>
      <xdr:rowOff>105833</xdr:rowOff>
    </xdr:from>
    <xdr:to>
      <xdr:col>8</xdr:col>
      <xdr:colOff>1221259</xdr:colOff>
      <xdr:row>0</xdr:row>
      <xdr:rowOff>371098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pSpPr/>
      </xdr:nvGrpSpPr>
      <xdr:grpSpPr>
        <a:xfrm>
          <a:off x="1300931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8" name="Conector de Seta Reta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#REF!">
        <xdr:nvSpPr>
          <xdr:cNvPr id="30" name="CaixaDeTexto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6</xdr:col>
      <xdr:colOff>1444680</xdr:colOff>
      <xdr:row>0</xdr:row>
      <xdr:rowOff>0</xdr:rowOff>
    </xdr:from>
    <xdr:to>
      <xdr:col>7</xdr:col>
      <xdr:colOff>1684680</xdr:colOff>
      <xdr:row>1</xdr:row>
      <xdr:rowOff>300</xdr:rowOff>
    </xdr:to>
    <xdr:sp macro="" textlink="">
      <xdr:nvSpPr>
        <xdr:cNvPr id="36" name="Retângulo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7</xdr:col>
      <xdr:colOff>1268019</xdr:colOff>
      <xdr:row>1</xdr:row>
      <xdr:rowOff>140149</xdr:rowOff>
    </xdr:from>
    <xdr:to>
      <xdr:col>7</xdr:col>
      <xdr:colOff>3063423</xdr:colOff>
      <xdr:row>1</xdr:row>
      <xdr:rowOff>488651</xdr:rowOff>
    </xdr:to>
    <xdr:sp macro="[0]!multiMoviment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9848139" y="787849"/>
          <a:ext cx="1795404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POR LOTE</a:t>
          </a:r>
        </a:p>
      </xdr:txBody>
    </xdr:sp>
    <xdr:clientData/>
  </xdr:twoCellAnchor>
  <xdr:twoCellAnchor editAs="oneCell">
    <xdr:from>
      <xdr:col>6</xdr:col>
      <xdr:colOff>1103803</xdr:colOff>
      <xdr:row>1</xdr:row>
      <xdr:rowOff>140149</xdr:rowOff>
    </xdr:from>
    <xdr:to>
      <xdr:col>7</xdr:col>
      <xdr:colOff>1102157</xdr:colOff>
      <xdr:row>1</xdr:row>
      <xdr:rowOff>488651</xdr:rowOff>
    </xdr:to>
    <xdr:sp macro="[0]!entradaXML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8152303" y="787849"/>
          <a:ext cx="1529974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ENTRADA POR XML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1354836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4</xdr:col>
      <xdr:colOff>54000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4</xdr:col>
      <xdr:colOff>4500</xdr:colOff>
      <xdr:row>0</xdr:row>
      <xdr:rowOff>0</xdr:rowOff>
    </xdr:from>
    <xdr:to>
      <xdr:col>7</xdr:col>
      <xdr:colOff>368325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290250</xdr:colOff>
      <xdr:row>0</xdr:row>
      <xdr:rowOff>0</xdr:rowOff>
    </xdr:from>
    <xdr:to>
      <xdr:col>7</xdr:col>
      <xdr:colOff>2054250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1976175</xdr:colOff>
      <xdr:row>0</xdr:row>
      <xdr:rowOff>0</xdr:rowOff>
    </xdr:from>
    <xdr:to>
      <xdr:col>7</xdr:col>
      <xdr:colOff>3740175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ENTRADA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2745254</xdr:colOff>
      <xdr:row>1</xdr:row>
      <xdr:rowOff>140149</xdr:rowOff>
    </xdr:from>
    <xdr:to>
      <xdr:col>9</xdr:col>
      <xdr:colOff>4261306</xdr:colOff>
      <xdr:row>1</xdr:row>
      <xdr:rowOff>488651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1515874" y="787849"/>
          <a:ext cx="1516052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ENTRADA MANUAL</a:t>
          </a:r>
        </a:p>
      </xdr:txBody>
    </xdr:sp>
    <xdr:clientData/>
  </xdr:twoCellAnchor>
  <xdr:twoCellAnchor editAs="absolute">
    <xdr:from>
      <xdr:col>7</xdr:col>
      <xdr:colOff>3662100</xdr:colOff>
      <xdr:row>0</xdr:row>
      <xdr:rowOff>0</xdr:rowOff>
    </xdr:from>
    <xdr:to>
      <xdr:col>9</xdr:col>
      <xdr:colOff>701700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9</xdr:col>
      <xdr:colOff>1046653</xdr:colOff>
      <xdr:row>1</xdr:row>
      <xdr:rowOff>140149</xdr:rowOff>
    </xdr:from>
    <xdr:to>
      <xdr:col>9</xdr:col>
      <xdr:colOff>2576627</xdr:colOff>
      <xdr:row>1</xdr:row>
      <xdr:rowOff>488651</xdr:rowOff>
    </xdr:to>
    <xdr:sp macro="[0]!entradaXM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817273" y="787849"/>
          <a:ext cx="1529974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ENTRADA POR XML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13083540" y="114300"/>
          <a:ext cx="685883" cy="265265"/>
          <a:chOff x="12712136" y="105833"/>
          <a:chExt cx="685883" cy="265265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1" name="Conector de Seta Reta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130302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4</xdr:col>
      <xdr:colOff>54000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1118925</xdr:colOff>
      <xdr:row>0</xdr:row>
      <xdr:rowOff>0</xdr:rowOff>
    </xdr:from>
    <xdr:to>
      <xdr:col>7</xdr:col>
      <xdr:colOff>368325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290250</xdr:colOff>
      <xdr:row>0</xdr:row>
      <xdr:rowOff>0</xdr:rowOff>
    </xdr:from>
    <xdr:to>
      <xdr:col>7</xdr:col>
      <xdr:colOff>2054250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1976175</xdr:colOff>
      <xdr:row>0</xdr:row>
      <xdr:rowOff>0</xdr:rowOff>
    </xdr:from>
    <xdr:to>
      <xdr:col>7</xdr:col>
      <xdr:colOff>3740175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SAIDA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2789425</xdr:colOff>
      <xdr:row>1</xdr:row>
      <xdr:rowOff>140149</xdr:rowOff>
    </xdr:from>
    <xdr:to>
      <xdr:col>9</xdr:col>
      <xdr:colOff>4262854</xdr:colOff>
      <xdr:row>1</xdr:row>
      <xdr:rowOff>488651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11560045" y="787849"/>
          <a:ext cx="1473429" cy="348502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0000" tIns="72000" rIns="180000" bIns="72000" rtlCol="0" anchor="ctr">
          <a:spAutoFit/>
        </a:bodyPr>
        <a:lstStyle/>
        <a:p>
          <a:pPr marL="0" indent="0" algn="ctr"/>
          <a:r>
            <a:rPr lang="pt-BR" sz="10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REGISTRAR SAIDA</a:t>
          </a:r>
        </a:p>
      </xdr:txBody>
    </xdr:sp>
    <xdr:clientData/>
  </xdr:twoCellAnchor>
  <xdr:twoCellAnchor editAs="absolute">
    <xdr:from>
      <xdr:col>7</xdr:col>
      <xdr:colOff>3662100</xdr:colOff>
      <xdr:row>0</xdr:row>
      <xdr:rowOff>0</xdr:rowOff>
    </xdr:from>
    <xdr:to>
      <xdr:col>9</xdr:col>
      <xdr:colOff>701700</xdr:colOff>
      <xdr:row>1</xdr:row>
      <xdr:rowOff>300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83540" y="114300"/>
          <a:ext cx="685883" cy="265265"/>
          <a:chOff x="12712136" y="105833"/>
          <a:chExt cx="685883" cy="265265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6" name="Conector de Seta Reta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users" displayName="users" ref="D4:G12" totalsRowShown="0" headerRowDxfId="77" dataDxfId="76">
  <autoFilter ref="D4:G12" xr:uid="{00000000-0009-0000-0100-000003000000}"/>
  <sortState xmlns:xlrd2="http://schemas.microsoft.com/office/spreadsheetml/2017/richdata2" ref="D5:E11">
    <sortCondition ref="D5:D11"/>
  </sortState>
  <tableColumns count="4">
    <tableColumn id="1" xr3:uid="{00000000-0010-0000-0000-000001000000}" name="id" dataDxfId="75"/>
    <tableColumn id="2" xr3:uid="{00000000-0010-0000-0000-000002000000}" name="password" dataDxfId="74"/>
    <tableColumn id="3" xr3:uid="{00000000-0010-0000-0000-000003000000}" name="acesso" dataDxfId="73"/>
    <tableColumn id="4" xr3:uid="{00000000-0010-0000-0000-000004000000}" name="ultimo acesso" dataDxfId="7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ctv" displayName="actv" ref="I4:I5" totalsRowShown="0" headerRowDxfId="71" dataDxfId="70">
  <autoFilter ref="I4:I5" xr:uid="{00000000-0009-0000-0100-000004000000}"/>
  <tableColumns count="1">
    <tableColumn id="1" xr3:uid="{00000000-0010-0000-0100-000001000000}" name="ativo" dataDxfId="6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cadProdutos8" displayName="cadProdutos8" ref="B3:G4" insertRow="1" totalsRowShown="0" headerRowDxfId="68" dataDxfId="67">
  <autoFilter ref="B3:G4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8" xr3:uid="{00000000-0010-0000-0200-000008000000}" name="Nº" dataDxfId="66">
      <calculatedColumnFormula>COUNTA($C$3:cadProdutos8[[#This Row],[CODIGO DE BARRAS]])-1</calculatedColumnFormula>
    </tableColumn>
    <tableColumn id="1" xr3:uid="{00000000-0010-0000-0200-000001000000}" name="CODIGO DE BARRAS" dataDxfId="65"/>
    <tableColumn id="5" xr3:uid="{00000000-0010-0000-0200-000005000000}" name="TIPO" dataDxfId="64">
      <calculatedColumnFormula>IF(cadProdutos8[[#This Row],[CODIGO INTERNO]]="","",IF(cadProdutos8[[#This Row],[CODIGO INTERNO]]&lt;1000,"AP","PÇ"))</calculatedColumnFormula>
    </tableColumn>
    <tableColumn id="2" xr3:uid="{00000000-0010-0000-0200-000002000000}" name="CODIGO INTERNO" dataDxfId="63"/>
    <tableColumn id="3" xr3:uid="{00000000-0010-0000-0200-000003000000}" name="PRODUTO" dataDxfId="62"/>
    <tableColumn id="6" xr3:uid="{00000000-0010-0000-0200-000006000000}" name="LIMITE DE ESTOQUE" dataDxfId="61"/>
  </tableColumns>
  <tableStyleInfo name="Estilo de Tabela 1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cadProdutos9" displayName="cadProdutos9" ref="B3:J4" insertRow="1" totalsRowShown="0" headerRowDxfId="1" dataDxfId="0" tableBorderDxfId="11">
  <autoFilter ref="B3:J4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8" xr3:uid="{00000000-0010-0000-0300-000008000000}" name="Nº" dataDxfId="10">
      <calculatedColumnFormula>COUNTA($C$3:cadProdutos9[[#This Row],[CODIGO DE BARRAS]])-1</calculatedColumnFormula>
    </tableColumn>
    <tableColumn id="1" xr3:uid="{00000000-0010-0000-0300-000001000000}" name="CODIGO DE BARRAS" dataDxfId="9"/>
    <tableColumn id="9" xr3:uid="{00000000-0010-0000-0300-000009000000}" name="TIPO" dataDxfId="8">
      <calculatedColumnFormula>IF(cadProdutos9[[#This Row],[CODIGO INTERNO]]="","",IF(cadProdutos9[[#This Row],[CODIGO INTERNO]]&lt;1000,"AP","PÇ"))</calculatedColumnFormula>
    </tableColumn>
    <tableColumn id="2" xr3:uid="{00000000-0010-0000-0300-000002000000}" name="CODIGO INTERNO" dataDxfId="7"/>
    <tableColumn id="3" xr3:uid="{00000000-0010-0000-0300-000003000000}" name="PRODUTO" dataDxfId="6"/>
    <tableColumn id="6" xr3:uid="{00000000-0010-0000-0300-000006000000}" name="LIMITE" dataDxfId="5">
      <calculatedColumnFormula>INDEX(cadProdutos8[LIMITE DE ESTOQUE],MATCH(cadProdutos9[[#This Row],[CODIGO INTERNO]],cadProdutos8[CODIGO INTERNO],0))</calculatedColumnFormula>
    </tableColumn>
    <tableColumn id="4" xr3:uid="{00000000-0010-0000-0300-000004000000}" name="ESTOQUE" dataDxfId="4"/>
    <tableColumn id="7" xr3:uid="{00000000-0010-0000-0300-000007000000}" name="OBSERVAÇÕES" dataDxfId="3"/>
    <tableColumn id="5" xr3:uid="{00000000-0010-0000-0300-000005000000}" name="STATUS" dataDxfId="2">
      <calculatedColumnFormula>IF($H4&lt;$G4,"COMPRAR URGENTE",IF($H4&lt;=_xlfn.CEILING.MATH($G4*1.6),"ESTOQUE BAIXO","OK"))</calculatedColumnFormula>
    </tableColumn>
  </tableColumns>
  <tableStyleInfo name="Estilo de Tabela 1" showFirstColumn="1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ela2" displayName="Tabela2" ref="B2:E3" insertRow="1" totalsRowShown="0" headerRowDxfId="60" dataDxfId="59">
  <autoFilter ref="B2:E3" xr:uid="{00000000-0009-0000-0100-000002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400-000001000000}" name="CODIGO" dataDxfId="58"/>
    <tableColumn id="2" xr3:uid="{00000000-0010-0000-0400-000002000000}" name="PRODUTO" dataDxfId="57"/>
    <tableColumn id="3" xr3:uid="{00000000-0010-0000-0400-000003000000}" name="COMPRA MINIMA" dataDxfId="56"/>
    <tableColumn id="4" xr3:uid="{00000000-0010-0000-0400-000004000000}" name="RECOMENDADO" dataDxfId="55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Tabela1" displayName="Tabela1" ref="B3:I4" insertRow="1" totalsRowShown="0" headerRowDxfId="54" dataDxfId="53" tableBorderDxfId="52">
  <autoFilter ref="B3:I4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5" xr3:uid="{00000000-0010-0000-0500-000005000000}" name="DATA" dataDxfId="51"/>
    <tableColumn id="6" xr3:uid="{00000000-0010-0000-0500-000006000000}" name="HORA" dataDxfId="50"/>
    <tableColumn id="9" xr3:uid="{00000000-0010-0000-0500-000009000000}" name="USUARIO" dataDxfId="49"/>
    <tableColumn id="7" xr3:uid="{00000000-0010-0000-0500-000007000000}" name="CODIGO HERDEIRO" dataDxfId="48"/>
    <tableColumn id="1" xr3:uid="{00000000-0010-0000-0500-000001000000}" name="CODIGO DE BARRAS" dataDxfId="47"/>
    <tableColumn id="2" xr3:uid="{00000000-0010-0000-0500-000002000000}" name="CODIGO INTERNO" dataDxfId="46"/>
    <tableColumn id="3" xr3:uid="{00000000-0010-0000-0500-000003000000}" name="PRODUTO" dataDxfId="25"/>
    <tableColumn id="4" xr3:uid="{00000000-0010-0000-0500-000004000000}" name="QUANTIDADE" dataDxfId="45"/>
  </tableColumns>
  <tableStyleInfo name="Estilo de Tabela 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ela16" displayName="Tabela16" ref="B3:J4" insertRow="1" totalsRowShown="0" headerRowDxfId="44" dataDxfId="43" tableBorderDxfId="42">
  <autoFilter ref="B3:J4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00000000-0010-0000-0600-000005000000}" name="DATA" dataDxfId="41"/>
    <tableColumn id="6" xr3:uid="{00000000-0010-0000-0600-000006000000}" name="HORA" dataDxfId="40"/>
    <tableColumn id="9" xr3:uid="{00000000-0010-0000-0600-000009000000}" name="USUARIO" dataDxfId="39"/>
    <tableColumn id="7" xr3:uid="{00000000-0010-0000-0600-000007000000}" name="CODIGO HERDEIRO" dataDxfId="38"/>
    <tableColumn id="1" xr3:uid="{00000000-0010-0000-0600-000001000000}" name="CODIGO DE BARRAS" dataDxfId="37"/>
    <tableColumn id="2" xr3:uid="{00000000-0010-0000-0600-000002000000}" name="CODIGO INTERNO" dataDxfId="27"/>
    <tableColumn id="3" xr3:uid="{00000000-0010-0000-0600-000003000000}" name="PRODUTO" dataDxfId="26"/>
    <tableColumn id="4" xr3:uid="{00000000-0010-0000-0600-000004000000}" name="ENTRADA" dataDxfId="23"/>
    <tableColumn id="10" xr3:uid="{00000000-0010-0000-0600-00000A000000}" name="MOTIVO DA ENTRADA" dataDxfId="22"/>
  </tableColumns>
  <tableStyleInfo name="Estilo de Tabela 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ela167" displayName="Tabela167" ref="B3:J4" insertRow="1" totalsRowShown="0" headerRowDxfId="36" dataDxfId="35" tableBorderDxfId="34">
  <autoFilter ref="B3:J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00000000-0010-0000-0700-000005000000}" name="DATA" dataDxfId="33"/>
    <tableColumn id="6" xr3:uid="{00000000-0010-0000-0700-000006000000}" name="HORA" dataDxfId="32"/>
    <tableColumn id="9" xr3:uid="{00000000-0010-0000-0700-000009000000}" name="USUARIO" dataDxfId="31"/>
    <tableColumn id="7" xr3:uid="{00000000-0010-0000-0700-000007000000}" name="CODIGO HERDEIRO" dataDxfId="30"/>
    <tableColumn id="1" xr3:uid="{00000000-0010-0000-0700-000001000000}" name="CODIGO DE BARRAS" dataDxfId="29"/>
    <tableColumn id="2" xr3:uid="{00000000-0010-0000-0700-000002000000}" name="CODIGO INTERNO" dataDxfId="28"/>
    <tableColumn id="3" xr3:uid="{00000000-0010-0000-0700-000003000000}" name="PRODUTO" dataDxfId="24"/>
    <tableColumn id="4" xr3:uid="{00000000-0010-0000-0700-000004000000}" name="SAIDA" dataDxfId="21"/>
    <tableColumn id="10" xr3:uid="{00000000-0010-0000-0700-00000A000000}" name="MOTIVO DA RETIRADA" dataDxfId="20"/>
  </tableColumns>
  <tableStyleInfo name="Estilo de Tabela 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X46"/>
  <sheetViews>
    <sheetView showGridLines="0" showRowColHeaders="0" topLeftCell="B1" zoomScale="109" zoomScaleNormal="109" workbookViewId="0">
      <selection activeCell="B1" sqref="B1:W31"/>
    </sheetView>
  </sheetViews>
  <sheetFormatPr defaultColWidth="0" defaultRowHeight="14.4" zeroHeight="1" x14ac:dyDescent="0.3"/>
  <cols>
    <col min="1" max="24" width="8.88671875" customWidth="1"/>
    <col min="25" max="16384" width="8.88671875" hidden="1"/>
  </cols>
  <sheetData>
    <row r="1" spans="1:24" x14ac:dyDescent="0.3">
      <c r="A1" s="24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3"/>
    </row>
    <row r="2" spans="1:24" x14ac:dyDescent="0.3">
      <c r="A2" s="24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3"/>
    </row>
    <row r="3" spans="1:24" x14ac:dyDescent="0.3">
      <c r="A3" s="24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3"/>
    </row>
    <row r="4" spans="1:24" x14ac:dyDescent="0.3">
      <c r="A4" s="24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3"/>
    </row>
    <row r="5" spans="1:24" x14ac:dyDescent="0.3">
      <c r="A5" s="24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3"/>
    </row>
    <row r="6" spans="1:24" x14ac:dyDescent="0.3">
      <c r="A6" s="2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3"/>
    </row>
    <row r="7" spans="1:24" x14ac:dyDescent="0.3">
      <c r="A7" s="24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3"/>
    </row>
    <row r="8" spans="1:24" x14ac:dyDescent="0.3">
      <c r="A8" s="24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3"/>
    </row>
    <row r="9" spans="1:24" x14ac:dyDescent="0.3">
      <c r="A9" s="24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3"/>
    </row>
    <row r="10" spans="1:24" x14ac:dyDescent="0.3">
      <c r="A10" s="24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3"/>
    </row>
    <row r="11" spans="1:24" x14ac:dyDescent="0.3">
      <c r="A11" s="24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3"/>
    </row>
    <row r="12" spans="1:24" x14ac:dyDescent="0.3">
      <c r="A12" s="24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3"/>
    </row>
    <row r="13" spans="1:24" x14ac:dyDescent="0.3">
      <c r="A13" s="24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3"/>
    </row>
    <row r="14" spans="1:24" x14ac:dyDescent="0.3">
      <c r="A14" s="24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3"/>
    </row>
    <row r="15" spans="1:24" x14ac:dyDescent="0.3">
      <c r="A15" s="24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3"/>
    </row>
    <row r="16" spans="1:24" x14ac:dyDescent="0.3">
      <c r="A16" s="24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3"/>
    </row>
    <row r="17" spans="1:24" x14ac:dyDescent="0.3">
      <c r="A17" s="24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3"/>
    </row>
    <row r="18" spans="1:24" x14ac:dyDescent="0.3">
      <c r="A18" s="24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3"/>
    </row>
    <row r="19" spans="1:24" x14ac:dyDescent="0.3">
      <c r="A19" s="24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3"/>
    </row>
    <row r="20" spans="1:24" x14ac:dyDescent="0.3">
      <c r="A20" s="24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3"/>
    </row>
    <row r="21" spans="1:24" x14ac:dyDescent="0.3">
      <c r="A21" s="24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3"/>
    </row>
    <row r="22" spans="1:24" x14ac:dyDescent="0.3">
      <c r="A22" s="24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3"/>
    </row>
    <row r="23" spans="1:24" x14ac:dyDescent="0.3">
      <c r="A23" s="24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3"/>
    </row>
    <row r="24" spans="1:24" x14ac:dyDescent="0.3">
      <c r="A24" s="24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3"/>
    </row>
    <row r="25" spans="1:24" x14ac:dyDescent="0.3">
      <c r="A25" s="24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3"/>
    </row>
    <row r="26" spans="1:24" x14ac:dyDescent="0.3">
      <c r="A26" s="24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3"/>
    </row>
    <row r="27" spans="1:24" x14ac:dyDescent="0.3">
      <c r="A27" s="24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3"/>
    </row>
    <row r="28" spans="1:24" x14ac:dyDescent="0.3">
      <c r="A28" s="24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3"/>
    </row>
    <row r="29" spans="1:24" x14ac:dyDescent="0.3">
      <c r="A29" s="24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3"/>
    </row>
    <row r="30" spans="1:24" x14ac:dyDescent="0.3">
      <c r="A30" s="24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3"/>
    </row>
    <row r="31" spans="1:24" x14ac:dyDescent="0.3">
      <c r="A31" s="24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3"/>
    </row>
    <row r="32" spans="1:24" x14ac:dyDescent="0.3">
      <c r="A32" s="24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3"/>
    </row>
    <row r="33" spans="1:24" x14ac:dyDescent="0.3">
      <c r="A33" s="24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3"/>
    </row>
    <row r="34" spans="1:24" x14ac:dyDescent="0.3">
      <c r="A34" s="24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3"/>
    </row>
    <row r="35" spans="1:24" x14ac:dyDescent="0.3">
      <c r="A35" s="24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3"/>
    </row>
    <row r="36" spans="1:24" x14ac:dyDescent="0.3">
      <c r="A36" s="24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3"/>
    </row>
    <row r="37" spans="1:24" x14ac:dyDescent="0.3">
      <c r="A37" s="24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3"/>
    </row>
    <row r="38" spans="1:24" x14ac:dyDescent="0.3">
      <c r="A38" s="24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3"/>
    </row>
    <row r="39" spans="1:24" x14ac:dyDescent="0.3">
      <c r="A39" s="24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3"/>
    </row>
    <row r="40" spans="1:24" x14ac:dyDescent="0.3">
      <c r="A40" s="24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3"/>
    </row>
    <row r="41" spans="1:24" x14ac:dyDescent="0.3">
      <c r="A41" s="24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3"/>
    </row>
    <row r="42" spans="1:24" x14ac:dyDescent="0.3">
      <c r="A42" s="24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3"/>
    </row>
    <row r="43" spans="1:24" x14ac:dyDescent="0.3">
      <c r="A43" s="24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3"/>
    </row>
    <row r="44" spans="1:24" x14ac:dyDescent="0.3">
      <c r="A44" s="24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3"/>
    </row>
    <row r="45" spans="1:24" x14ac:dyDescent="0.3">
      <c r="A45" s="24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3"/>
    </row>
    <row r="46" spans="1:24" x14ac:dyDescent="0.3">
      <c r="A46" s="24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3"/>
    </row>
  </sheetData>
  <sheetProtection sheet="1" objects="1" scenarios="1" selectLockedCells="1" selectUnlockedCells="1"/>
  <mergeCells count="4">
    <mergeCell ref="B1:W31"/>
    <mergeCell ref="B32:W46"/>
    <mergeCell ref="X1:X46"/>
    <mergeCell ref="A1:A4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r:id="rId5">
            <anchor>
              <from>
                <xdr:col>16</xdr:col>
                <xdr:colOff>144780</xdr:colOff>
                <xdr:row>14</xdr:row>
                <xdr:rowOff>45720</xdr:rowOff>
              </from>
              <to>
                <xdr:col>21</xdr:col>
                <xdr:colOff>53340</xdr:colOff>
                <xdr:row>15</xdr:row>
                <xdr:rowOff>114300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6" r:id="rId6" name="TextBox2">
          <controlPr defaultSize="0" autoLine="0" r:id="rId5">
            <anchor>
              <from>
                <xdr:col>16</xdr:col>
                <xdr:colOff>144780</xdr:colOff>
                <xdr:row>18</xdr:row>
                <xdr:rowOff>160020</xdr:rowOff>
              </from>
              <to>
                <xdr:col>21</xdr:col>
                <xdr:colOff>53340</xdr:colOff>
                <xdr:row>20</xdr:row>
                <xdr:rowOff>45720</xdr:rowOff>
              </to>
            </anchor>
          </controlPr>
        </control>
      </mc:Choice>
      <mc:Fallback>
        <control shapeId="1026" r:id="rId6" name="TextBox2"/>
      </mc:Fallback>
    </mc:AlternateContent>
    <mc:AlternateContent xmlns:mc="http://schemas.openxmlformats.org/markup-compatibility/2006">
      <mc:Choice Requires="x14">
        <control shapeId="1032" r:id="rId7" name="logginBtn">
          <controlPr defaultSize="0" autoLine="0" r:id="rId8">
            <anchor moveWithCells="1">
              <from>
                <xdr:col>23</xdr:col>
                <xdr:colOff>365760</xdr:colOff>
                <xdr:row>35</xdr:row>
                <xdr:rowOff>106680</xdr:rowOff>
              </from>
              <to>
                <xdr:col>23</xdr:col>
                <xdr:colOff>594360</xdr:colOff>
                <xdr:row>37</xdr:row>
                <xdr:rowOff>0</xdr:rowOff>
              </to>
            </anchor>
          </controlPr>
        </control>
      </mc:Choice>
      <mc:Fallback>
        <control shapeId="1032" r:id="rId7" name="loggin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B1:AV106"/>
  <sheetViews>
    <sheetView showRowColHeaders="0" tabSelected="1" topLeftCell="B1" workbookViewId="0">
      <selection activeCell="C13" sqref="C13"/>
    </sheetView>
  </sheetViews>
  <sheetFormatPr defaultColWidth="0" defaultRowHeight="14.4" zeroHeight="1" x14ac:dyDescent="0.3"/>
  <cols>
    <col min="1" max="1" width="8.88671875" hidden="1" customWidth="1"/>
    <col min="2" max="48" width="8.88671875" customWidth="1"/>
    <col min="49" max="16384" width="8.88671875" hidden="1"/>
  </cols>
  <sheetData>
    <row r="1" spans="2:48" x14ac:dyDescent="0.3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</row>
    <row r="2" spans="2:48" x14ac:dyDescent="0.3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3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3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3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3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3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3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3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</row>
    <row r="10" spans="2:48" x14ac:dyDescent="0.3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</row>
    <row r="11" spans="2:48" x14ac:dyDescent="0.3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3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3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3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3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3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3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3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3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3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3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3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3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3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x14ac:dyDescent="0.3"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x14ac:dyDescent="0.3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3"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3"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3"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3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3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3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3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3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3"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3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3"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3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3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3"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3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3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3"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3"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3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3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3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3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3"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3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3"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3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3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3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3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3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3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3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3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3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3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3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3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3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3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3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3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3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3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3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3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3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3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3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3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3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3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3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3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2:48" x14ac:dyDescent="0.3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2:48" x14ac:dyDescent="0.3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2:48" x14ac:dyDescent="0.3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2:48" x14ac:dyDescent="0.3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2:48" x14ac:dyDescent="0.3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2:48" x14ac:dyDescent="0.3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2:48" x14ac:dyDescent="0.3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2:48" x14ac:dyDescent="0.3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2:48" x14ac:dyDescent="0.3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2:48" x14ac:dyDescent="0.3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2:48" x14ac:dyDescent="0.3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2:48" x14ac:dyDescent="0.3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2:48" x14ac:dyDescent="0.3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2:48" x14ac:dyDescent="0.3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2:48" x14ac:dyDescent="0.3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2:48" x14ac:dyDescent="0.3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2:48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2:48" x14ac:dyDescent="0.3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2:48" x14ac:dyDescent="0.3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2:48" x14ac:dyDescent="0.3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2:48" x14ac:dyDescent="0.3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2:48" x14ac:dyDescent="0.3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2:48" x14ac:dyDescent="0.3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2:48" x14ac:dyDescent="0.3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2:48" x14ac:dyDescent="0.3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2:48" x14ac:dyDescent="0.3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R19"/>
  <sheetViews>
    <sheetView showGridLines="0" showRowColHeaders="0" topLeftCell="B1" workbookViewId="0">
      <selection activeCell="G5" sqref="G5"/>
    </sheetView>
  </sheetViews>
  <sheetFormatPr defaultColWidth="0" defaultRowHeight="14.4" zeroHeight="1" x14ac:dyDescent="0.3"/>
  <cols>
    <col min="1" max="1" width="0" hidden="1" customWidth="1"/>
    <col min="2" max="2" width="26" customWidth="1"/>
    <col min="3" max="3" width="14.44140625" customWidth="1"/>
    <col min="4" max="7" width="16.6640625" customWidth="1"/>
    <col min="8" max="8" width="8.88671875" customWidth="1"/>
    <col min="9" max="9" width="16.6640625" customWidth="1"/>
    <col min="10" max="15" width="8.88671875" customWidth="1"/>
    <col min="16" max="18" width="0" hidden="1" customWidth="1"/>
    <col min="19" max="16384" width="8.88671875" hidden="1"/>
  </cols>
  <sheetData>
    <row r="1" spans="2:15" ht="50.4" customHeight="1" x14ac:dyDescent="0.3">
      <c r="B1" s="7" t="s">
        <v>20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2:15" ht="24.6" customHeight="1" x14ac:dyDescent="0.3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15" ht="52.95" customHeight="1" x14ac:dyDescent="0.3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2:15" ht="18" customHeight="1" x14ac:dyDescent="0.3">
      <c r="B4" s="7"/>
      <c r="C4" s="7"/>
      <c r="D4" s="4" t="s">
        <v>9</v>
      </c>
      <c r="E4" s="4" t="s">
        <v>11</v>
      </c>
      <c r="F4" s="4" t="s">
        <v>27</v>
      </c>
      <c r="G4" s="4" t="s">
        <v>28</v>
      </c>
      <c r="H4" s="7"/>
      <c r="I4" s="4" t="s">
        <v>12</v>
      </c>
      <c r="J4" s="7"/>
      <c r="K4" s="7"/>
      <c r="L4" s="7"/>
      <c r="M4" s="7"/>
      <c r="N4" s="7"/>
      <c r="O4" s="7"/>
    </row>
    <row r="5" spans="2:15" ht="18" customHeight="1" x14ac:dyDescent="0.3">
      <c r="B5" s="7"/>
      <c r="C5" s="7"/>
      <c r="D5" s="4" t="s">
        <v>10</v>
      </c>
      <c r="E5" s="5" t="s">
        <v>10</v>
      </c>
      <c r="F5" s="4">
        <v>3</v>
      </c>
      <c r="G5" s="13"/>
      <c r="H5" s="7"/>
      <c r="I5" s="4"/>
      <c r="J5" s="7" t="str">
        <f>IF(actv[]="","Sem login ativo","Logado")</f>
        <v>Sem login ativo</v>
      </c>
      <c r="K5" s="7"/>
      <c r="L5" s="7"/>
      <c r="M5" s="7"/>
      <c r="N5" s="7"/>
      <c r="O5" s="7"/>
    </row>
    <row r="6" spans="2:15" ht="18" customHeight="1" x14ac:dyDescent="0.3">
      <c r="B6" s="7"/>
      <c r="C6" s="7"/>
      <c r="D6" s="4"/>
      <c r="E6" s="5"/>
      <c r="F6" s="4"/>
      <c r="G6" s="13"/>
      <c r="H6" s="7"/>
      <c r="I6" s="7"/>
      <c r="J6" s="7"/>
      <c r="K6" s="7"/>
      <c r="L6" s="7"/>
      <c r="M6" s="7"/>
      <c r="N6" s="7"/>
      <c r="O6" s="7"/>
    </row>
    <row r="7" spans="2:15" ht="18" customHeight="1" x14ac:dyDescent="0.3">
      <c r="B7" s="7"/>
      <c r="C7" s="7"/>
      <c r="D7" s="4"/>
      <c r="E7" s="5"/>
      <c r="F7" s="4"/>
      <c r="G7" s="13"/>
      <c r="H7" s="7"/>
      <c r="I7" s="7"/>
      <c r="J7" s="7"/>
      <c r="K7" s="7"/>
      <c r="L7" s="7"/>
      <c r="M7" s="7"/>
      <c r="N7" s="7"/>
      <c r="O7" s="7"/>
    </row>
    <row r="8" spans="2:15" ht="18" customHeight="1" x14ac:dyDescent="0.3">
      <c r="B8" s="7"/>
      <c r="C8" s="7"/>
      <c r="D8" s="4"/>
      <c r="E8" s="5"/>
      <c r="F8" s="4"/>
      <c r="G8" s="13"/>
      <c r="H8" s="7"/>
      <c r="I8" s="7"/>
      <c r="J8" s="7"/>
      <c r="K8" s="7"/>
      <c r="L8" s="7"/>
      <c r="M8" s="7"/>
      <c r="N8" s="7"/>
      <c r="O8" s="7"/>
    </row>
    <row r="9" spans="2:15" ht="18" customHeight="1" x14ac:dyDescent="0.3">
      <c r="B9" s="7"/>
      <c r="C9" s="7"/>
      <c r="D9" s="4"/>
      <c r="E9" s="6"/>
      <c r="F9" s="4"/>
      <c r="G9" s="13"/>
      <c r="H9" s="7"/>
      <c r="I9" s="7"/>
      <c r="J9" s="7"/>
      <c r="K9" s="7"/>
      <c r="L9" s="7"/>
      <c r="M9" s="7"/>
      <c r="N9" s="7"/>
      <c r="O9" s="7"/>
    </row>
    <row r="10" spans="2:15" ht="18" customHeight="1" x14ac:dyDescent="0.3">
      <c r="B10" s="7"/>
      <c r="C10" s="7"/>
      <c r="D10" s="4"/>
      <c r="E10" s="5"/>
      <c r="F10" s="4"/>
      <c r="G10" s="13"/>
      <c r="H10" s="7"/>
      <c r="I10" s="7"/>
      <c r="J10" s="7"/>
      <c r="K10" s="7"/>
      <c r="L10" s="7"/>
      <c r="M10" s="7"/>
      <c r="N10" s="7"/>
      <c r="O10" s="7"/>
    </row>
    <row r="11" spans="2:15" ht="18" customHeight="1" x14ac:dyDescent="0.3">
      <c r="B11" s="7"/>
      <c r="C11" s="7"/>
      <c r="D11" s="4"/>
      <c r="E11" s="5"/>
      <c r="F11" s="4"/>
      <c r="G11" s="13"/>
      <c r="H11" s="7"/>
      <c r="I11" s="7"/>
      <c r="J11" s="7"/>
      <c r="K11" s="7"/>
      <c r="L11" s="7"/>
      <c r="M11" s="7"/>
      <c r="N11" s="7"/>
      <c r="O11" s="7"/>
    </row>
    <row r="12" spans="2:15" ht="18" customHeight="1" x14ac:dyDescent="0.3">
      <c r="B12" s="7"/>
      <c r="C12" s="7"/>
      <c r="D12" s="4"/>
      <c r="E12" s="5"/>
      <c r="F12" s="4"/>
      <c r="G12" s="13"/>
      <c r="H12" s="7"/>
      <c r="I12" s="7"/>
      <c r="J12" s="7"/>
      <c r="K12" s="7"/>
      <c r="L12" s="7"/>
      <c r="M12" s="7"/>
      <c r="N12" s="7"/>
      <c r="O12" s="7"/>
    </row>
    <row r="13" spans="2:15" ht="18" customHeight="1" x14ac:dyDescent="0.3"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2:15" ht="18" customHeight="1" x14ac:dyDescent="0.3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2:15" ht="18" customHeight="1" x14ac:dyDescent="0.3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2:15" ht="18" customHeight="1" x14ac:dyDescent="0.3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2:15" ht="18" customHeight="1" x14ac:dyDescent="0.3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2:15" ht="18" customHeight="1" x14ac:dyDescent="0.3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2:15" ht="18" customHeight="1" x14ac:dyDescent="0.3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</sheetData>
  <dataValidations count="1">
    <dataValidation type="list" allowBlank="1" showDropDown="1" showInputMessage="1" showErrorMessage="1" sqref="I5" xr:uid="{00000000-0002-0000-0200-000000000000}">
      <formula1>$D$5:$D$12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8"/>
  <dimension ref="B1:H4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/>
    </sheetView>
  </sheetViews>
  <sheetFormatPr defaultColWidth="0" defaultRowHeight="14.4" customHeight="1" zeroHeight="1" x14ac:dyDescent="0.3"/>
  <cols>
    <col min="1" max="1" width="8.88671875" hidden="1" customWidth="1"/>
    <col min="2" max="2" width="9.44140625" customWidth="1"/>
    <col min="3" max="3" width="27.6640625" customWidth="1"/>
    <col min="4" max="4" width="16.6640625" customWidth="1"/>
    <col min="5" max="5" width="27.6640625" customWidth="1"/>
    <col min="6" max="6" width="63.88671875" customWidth="1"/>
    <col min="7" max="8" width="26.6640625" customWidth="1"/>
    <col min="9" max="16384" width="8.88671875" hidden="1"/>
  </cols>
  <sheetData>
    <row r="1" spans="2:8" ht="51" customHeight="1" x14ac:dyDescent="0.3">
      <c r="B1" s="1" t="e">
        <f>CONCATENATE("Olá, ",LEFT(actv[],1),LOWER(RIGHT(actv[],LEN(actv[])-1)))</f>
        <v>#VALUE!</v>
      </c>
      <c r="C1" s="1"/>
      <c r="D1" s="2"/>
      <c r="E1" s="2"/>
      <c r="F1" s="2"/>
      <c r="G1" s="2"/>
      <c r="H1" s="9"/>
    </row>
    <row r="2" spans="2:8" ht="48" customHeight="1" x14ac:dyDescent="0.3">
      <c r="B2" s="25"/>
      <c r="C2" s="26"/>
      <c r="D2" s="26"/>
      <c r="E2" s="26"/>
      <c r="F2" s="26"/>
      <c r="G2" s="27"/>
      <c r="H2" s="10"/>
    </row>
    <row r="3" spans="2:8" ht="27" customHeight="1" x14ac:dyDescent="0.3">
      <c r="B3" s="17" t="s">
        <v>17</v>
      </c>
      <c r="C3" s="17" t="s">
        <v>0</v>
      </c>
      <c r="D3" s="17" t="s">
        <v>15</v>
      </c>
      <c r="E3" s="17" t="s">
        <v>1</v>
      </c>
      <c r="F3" s="17" t="s">
        <v>2</v>
      </c>
      <c r="G3" s="17" t="s">
        <v>21</v>
      </c>
      <c r="H3" s="11"/>
    </row>
    <row r="4" spans="2:8" ht="27" customHeight="1" x14ac:dyDescent="0.4">
      <c r="B4" s="14"/>
      <c r="C4" s="14"/>
      <c r="D4" s="14"/>
      <c r="E4" s="14"/>
      <c r="F4" s="16"/>
      <c r="G4" s="15"/>
      <c r="H4" s="12"/>
    </row>
  </sheetData>
  <sortState xmlns:xlrd2="http://schemas.microsoft.com/office/spreadsheetml/2017/richdata2" ref="B4:G4">
    <sortCondition ref="D4"/>
    <sortCondition ref="F4"/>
  </sortState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B1:K4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/>
    </sheetView>
  </sheetViews>
  <sheetFormatPr defaultColWidth="0" defaultRowHeight="14.4" customHeight="1" zeroHeight="1" x14ac:dyDescent="0.3"/>
  <cols>
    <col min="1" max="1" width="8.88671875" hidden="1" customWidth="1"/>
    <col min="2" max="2" width="9.44140625" customWidth="1"/>
    <col min="3" max="3" width="27.6640625" hidden="1" customWidth="1"/>
    <col min="4" max="4" width="16.6640625" hidden="1" customWidth="1"/>
    <col min="5" max="5" width="27.6640625" customWidth="1"/>
    <col min="6" max="6" width="63.88671875" customWidth="1"/>
    <col min="7" max="7" width="18.88671875" hidden="1" customWidth="1"/>
    <col min="8" max="8" width="22.33203125" customWidth="1"/>
    <col min="9" max="9" width="33.33203125" customWidth="1"/>
    <col min="10" max="10" width="26.6640625" customWidth="1"/>
    <col min="11" max="11" width="9.6640625" customWidth="1"/>
    <col min="12" max="16384" width="8.88671875" hidden="1"/>
  </cols>
  <sheetData>
    <row r="1" spans="2:11" ht="51" customHeight="1" x14ac:dyDescent="0.3">
      <c r="B1" s="1" t="e">
        <f>CONCATENATE("Olá, ",LEFT(actv[],1),LOWER(RIGHT(actv[],LEN(actv[])-1)))</f>
        <v>#VALUE!</v>
      </c>
      <c r="C1" s="1"/>
      <c r="D1" s="1"/>
      <c r="E1" s="2"/>
      <c r="F1" s="2"/>
      <c r="G1" s="2"/>
      <c r="H1" s="2"/>
      <c r="I1" s="2"/>
      <c r="J1" s="2">
        <v>0</v>
      </c>
      <c r="K1" s="8"/>
    </row>
    <row r="2" spans="2:11" ht="48" customHeight="1" x14ac:dyDescent="0.3">
      <c r="B2" s="28"/>
      <c r="C2" s="29"/>
      <c r="D2" s="29"/>
      <c r="E2" s="29"/>
      <c r="F2" s="29"/>
      <c r="G2" s="29"/>
      <c r="H2" s="30"/>
      <c r="I2" s="30"/>
      <c r="J2" s="31"/>
      <c r="K2" s="8"/>
    </row>
    <row r="3" spans="2:11" ht="27" customHeight="1" x14ac:dyDescent="0.3">
      <c r="B3" s="48" t="s">
        <v>17</v>
      </c>
      <c r="C3" s="48" t="s">
        <v>0</v>
      </c>
      <c r="D3" s="48" t="s">
        <v>15</v>
      </c>
      <c r="E3" s="48" t="s">
        <v>1</v>
      </c>
      <c r="F3" s="48" t="s">
        <v>2</v>
      </c>
      <c r="G3" s="48" t="s">
        <v>23</v>
      </c>
      <c r="H3" s="48" t="s">
        <v>4</v>
      </c>
      <c r="I3" s="48" t="s">
        <v>16</v>
      </c>
      <c r="J3" s="48" t="s">
        <v>22</v>
      </c>
      <c r="K3" s="8"/>
    </row>
    <row r="4" spans="2:11" ht="27" customHeight="1" x14ac:dyDescent="0.3">
      <c r="B4" s="43"/>
      <c r="C4" s="43"/>
      <c r="D4" s="43"/>
      <c r="E4" s="43"/>
      <c r="F4" s="44"/>
      <c r="G4" s="45"/>
      <c r="H4" s="43"/>
      <c r="I4" s="46"/>
      <c r="J4" s="47"/>
      <c r="K4" s="8"/>
    </row>
  </sheetData>
  <sortState xmlns:xlrd2="http://schemas.microsoft.com/office/spreadsheetml/2017/richdata2" ref="B4:J4">
    <sortCondition ref="D4"/>
    <sortCondition ref="F4"/>
  </sortState>
  <dataConsolidate link="1"/>
  <mergeCells count="1">
    <mergeCell ref="B2:J2"/>
  </mergeCells>
  <conditionalFormatting sqref="J4">
    <cfRule type="expression" dxfId="19" priority="269">
      <formula>$H4&lt;$G4</formula>
    </cfRule>
    <cfRule type="expression" dxfId="18" priority="270">
      <formula>$H4&lt;=_xlfn.CEILING.MATH($G4*1.6)</formula>
    </cfRule>
  </conditionalFormatting>
  <conditionalFormatting sqref="H4">
    <cfRule type="expression" dxfId="17" priority="271">
      <formula>1=1</formula>
    </cfRule>
    <cfRule type="expression" dxfId="16" priority="272">
      <formula>$H4&lt;$G4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>
    <pageSetUpPr fitToPage="1"/>
  </sheetPr>
  <dimension ref="A1:F4"/>
  <sheetViews>
    <sheetView showGridLines="0" showRowColHeaders="0" zoomScale="130" zoomScaleNormal="130" workbookViewId="0">
      <selection activeCell="C2" sqref="C2"/>
    </sheetView>
  </sheetViews>
  <sheetFormatPr defaultColWidth="0" defaultRowHeight="14.4" zeroHeight="1" x14ac:dyDescent="0.3"/>
  <cols>
    <col min="1" max="1" width="3.33203125" customWidth="1"/>
    <col min="2" max="2" width="15.5546875" customWidth="1"/>
    <col min="3" max="3" width="33.33203125" customWidth="1"/>
    <col min="4" max="5" width="19.44140625" customWidth="1"/>
    <col min="6" max="6" width="8.88671875" customWidth="1"/>
    <col min="7" max="16384" width="8.88671875" hidden="1"/>
  </cols>
  <sheetData>
    <row r="1" spans="2:5" ht="35.4" customHeight="1" x14ac:dyDescent="0.3">
      <c r="B1" s="32" t="str">
        <f ca="1">"LISTA DE COMPRAS - "&amp;TEXT(TODAY(),"dd/mm/aaaa")</f>
        <v>LISTA DE COMPRAS - 05/10/2022</v>
      </c>
      <c r="C1" s="32"/>
      <c r="D1" s="32"/>
      <c r="E1" s="32"/>
    </row>
    <row r="2" spans="2:5" ht="21" customHeight="1" x14ac:dyDescent="0.3">
      <c r="B2" s="4" t="s">
        <v>24</v>
      </c>
      <c r="C2" s="4" t="s">
        <v>2</v>
      </c>
      <c r="D2" s="4" t="s">
        <v>25</v>
      </c>
      <c r="E2" s="4" t="s">
        <v>26</v>
      </c>
    </row>
    <row r="3" spans="2:5" ht="21" customHeight="1" x14ac:dyDescent="0.3">
      <c r="B3" s="4"/>
      <c r="C3" s="4"/>
      <c r="D3" s="4"/>
      <c r="E3" s="4"/>
    </row>
    <row r="4" spans="2:5" x14ac:dyDescent="0.3"/>
  </sheetData>
  <mergeCells count="1">
    <mergeCell ref="B1:E1"/>
  </mergeCells>
  <printOptions horizontalCentered="1"/>
  <pageMargins left="0.31496062992125984" right="0.31496062992125984" top="0.59055118110236227" bottom="0.59055118110236227" header="0.31496062992125984" footer="0.31496062992125984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B1:J4"/>
  <sheetViews>
    <sheetView showGridLines="0" showRowColHeaders="0" topLeftCell="B1" zoomScaleNormal="108" workbookViewId="0">
      <pane ySplit="3" topLeftCell="A4" activePane="bottomLeft" state="frozen"/>
      <selection pane="bottomLeft"/>
    </sheetView>
  </sheetViews>
  <sheetFormatPr defaultColWidth="0" defaultRowHeight="14.4" zeroHeight="1" x14ac:dyDescent="0.3"/>
  <cols>
    <col min="1" max="1" width="8.88671875" hidden="1" customWidth="1"/>
    <col min="2" max="3" width="17.88671875" customWidth="1"/>
    <col min="4" max="7" width="22.33203125" customWidth="1"/>
    <col min="8" max="8" width="55.5546875" customWidth="1"/>
    <col min="9" max="9" width="20" customWidth="1"/>
    <col min="10" max="10" width="26.6640625" customWidth="1"/>
    <col min="11" max="16384" width="8.88671875" hidden="1"/>
  </cols>
  <sheetData>
    <row r="1" spans="2:10" ht="51" customHeight="1" x14ac:dyDescent="0.3">
      <c r="B1" s="1" t="e">
        <f>CONCATENATE("Olá, ",LEFT(actv[],1),LOWER(RIGHT(actv[],LEN(actv[])-1)))</f>
        <v>#VALUE!</v>
      </c>
      <c r="C1" s="2"/>
      <c r="D1" s="2"/>
      <c r="E1" s="2"/>
      <c r="F1" s="2"/>
      <c r="G1" s="2"/>
      <c r="H1" s="2"/>
      <c r="I1" s="2"/>
      <c r="J1" s="9"/>
    </row>
    <row r="2" spans="2:10" ht="48" customHeight="1" x14ac:dyDescent="0.3">
      <c r="B2" s="33"/>
      <c r="C2" s="34"/>
      <c r="D2" s="34"/>
      <c r="E2" s="34"/>
      <c r="F2" s="34"/>
      <c r="G2" s="34"/>
      <c r="H2" s="34"/>
      <c r="I2" s="35"/>
      <c r="J2" s="9"/>
    </row>
    <row r="3" spans="2:10" ht="27" customHeight="1" x14ac:dyDescent="0.3">
      <c r="B3" s="17" t="s">
        <v>5</v>
      </c>
      <c r="C3" s="17" t="s">
        <v>6</v>
      </c>
      <c r="D3" s="17" t="s">
        <v>8</v>
      </c>
      <c r="E3" s="17" t="s">
        <v>7</v>
      </c>
      <c r="F3" s="17" t="s">
        <v>0</v>
      </c>
      <c r="G3" s="17" t="s">
        <v>1</v>
      </c>
      <c r="H3" s="17" t="s">
        <v>2</v>
      </c>
      <c r="I3" s="17" t="s">
        <v>3</v>
      </c>
      <c r="J3" s="9"/>
    </row>
    <row r="4" spans="2:10" ht="27" customHeight="1" x14ac:dyDescent="0.3">
      <c r="B4" s="18"/>
      <c r="C4" s="19"/>
      <c r="D4" s="14"/>
      <c r="E4" s="14"/>
      <c r="F4" s="14"/>
      <c r="G4" s="14"/>
      <c r="H4" s="42"/>
      <c r="I4" s="20"/>
      <c r="J4" s="9"/>
    </row>
  </sheetData>
  <mergeCells count="1">
    <mergeCell ref="B2:I2"/>
  </mergeCells>
  <conditionalFormatting sqref="I4">
    <cfRule type="cellIs" dxfId="15" priority="13" operator="greaterThan">
      <formula>-1</formula>
    </cfRule>
    <cfRule type="cellIs" dxfId="14" priority="14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B1:K4"/>
  <sheetViews>
    <sheetView showGridLines="0" showRowColHeaders="0" topLeftCell="B1" zoomScaleNormal="108" workbookViewId="0">
      <pane ySplit="3" topLeftCell="A4" activePane="bottomLeft" state="frozen"/>
      <selection pane="bottomLeft"/>
    </sheetView>
  </sheetViews>
  <sheetFormatPr defaultColWidth="0" defaultRowHeight="14.4" customHeight="1" zeroHeight="1" x14ac:dyDescent="0.3"/>
  <cols>
    <col min="1" max="1" width="8.88671875" hidden="1" customWidth="1"/>
    <col min="2" max="2" width="17.88671875" customWidth="1"/>
    <col min="3" max="3" width="15.5546875" customWidth="1"/>
    <col min="4" max="4" width="16.6640625" customWidth="1"/>
    <col min="5" max="5" width="20" customWidth="1"/>
    <col min="6" max="7" width="20" hidden="1" customWidth="1"/>
    <col min="8" max="8" width="55.5546875" customWidth="1"/>
    <col min="9" max="9" width="13.33203125" customWidth="1"/>
    <col min="10" max="10" width="64.44140625" customWidth="1"/>
    <col min="11" max="11" width="8.88671875" customWidth="1"/>
    <col min="12" max="16384" width="8.88671875" hidden="1"/>
  </cols>
  <sheetData>
    <row r="1" spans="2:11" ht="51" customHeight="1" x14ac:dyDescent="0.3">
      <c r="B1" s="1" t="e">
        <f>CONCATENATE("Olá, ",LEFT(actv[],1),LOWER(RIGHT(actv[],LEN(actv[])-1)))</f>
        <v>#VALUE!</v>
      </c>
      <c r="C1" s="2"/>
      <c r="D1" s="2"/>
      <c r="E1" s="2"/>
      <c r="F1" s="2"/>
      <c r="G1" s="2"/>
      <c r="H1" s="2"/>
      <c r="I1" s="2"/>
      <c r="J1" s="2"/>
      <c r="K1" s="8"/>
    </row>
    <row r="2" spans="2:11" ht="48" customHeight="1" x14ac:dyDescent="0.3">
      <c r="B2" s="36"/>
      <c r="C2" s="37"/>
      <c r="D2" s="37"/>
      <c r="E2" s="37"/>
      <c r="F2" s="37"/>
      <c r="G2" s="37"/>
      <c r="H2" s="37"/>
      <c r="I2" s="37"/>
      <c r="J2" s="38"/>
      <c r="K2" s="8"/>
    </row>
    <row r="3" spans="2:11" ht="27" customHeight="1" x14ac:dyDescent="0.3">
      <c r="B3" s="17" t="s">
        <v>5</v>
      </c>
      <c r="C3" s="17" t="s">
        <v>6</v>
      </c>
      <c r="D3" s="17" t="s">
        <v>8</v>
      </c>
      <c r="E3" s="17" t="s">
        <v>7</v>
      </c>
      <c r="F3" s="17" t="s">
        <v>0</v>
      </c>
      <c r="G3" s="17" t="s">
        <v>1</v>
      </c>
      <c r="H3" s="17" t="s">
        <v>2</v>
      </c>
      <c r="I3" s="17" t="s">
        <v>13</v>
      </c>
      <c r="J3" s="17" t="s">
        <v>14</v>
      </c>
      <c r="K3" s="8"/>
    </row>
    <row r="4" spans="2:11" ht="27" customHeight="1" x14ac:dyDescent="0.3">
      <c r="B4" s="18"/>
      <c r="C4" s="19"/>
      <c r="D4" s="14"/>
      <c r="E4" s="14"/>
      <c r="F4" s="14"/>
      <c r="G4" s="14"/>
      <c r="H4" s="42"/>
      <c r="I4" s="20"/>
      <c r="J4" s="50"/>
      <c r="K4" s="8"/>
    </row>
  </sheetData>
  <mergeCells count="1">
    <mergeCell ref="B2:J2"/>
  </mergeCells>
  <conditionalFormatting sqref="I4">
    <cfRule type="cellIs" dxfId="13" priority="7" operator="greaterThan">
      <formula>-1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B1:K4"/>
  <sheetViews>
    <sheetView showGridLines="0" showRowColHeaders="0" topLeftCell="B1" zoomScaleNormal="100" workbookViewId="0">
      <pane ySplit="3" topLeftCell="A4" activePane="bottomLeft" state="frozen"/>
      <selection pane="bottomLeft"/>
    </sheetView>
  </sheetViews>
  <sheetFormatPr defaultColWidth="0" defaultRowHeight="21" customHeight="1" zeroHeight="1" x14ac:dyDescent="0.3"/>
  <cols>
    <col min="1" max="1" width="8.88671875" hidden="1" customWidth="1"/>
    <col min="2" max="2" width="17.88671875" customWidth="1"/>
    <col min="3" max="3" width="15.5546875" customWidth="1"/>
    <col min="4" max="4" width="16.6640625" customWidth="1"/>
    <col min="5" max="5" width="20" customWidth="1"/>
    <col min="6" max="7" width="20" hidden="1" customWidth="1"/>
    <col min="8" max="8" width="55.5546875" customWidth="1"/>
    <col min="9" max="9" width="13.33203125" customWidth="1"/>
    <col min="10" max="10" width="64.44140625" customWidth="1"/>
    <col min="11" max="11" width="8.88671875" style="8" customWidth="1"/>
    <col min="12" max="16384" width="8.88671875" hidden="1"/>
  </cols>
  <sheetData>
    <row r="1" spans="2:10" ht="51" customHeight="1" x14ac:dyDescent="0.3">
      <c r="B1" s="1" t="e">
        <f>CONCATENATE("Olá, ",LEFT(actv[],1),LOWER(RIGHT(actv[],LEN(actv[])-1)))</f>
        <v>#VALUE!</v>
      </c>
      <c r="C1" s="2"/>
      <c r="D1" s="2"/>
      <c r="E1" s="2"/>
      <c r="F1" s="2"/>
      <c r="G1" s="2"/>
      <c r="H1" s="2"/>
      <c r="I1" s="2"/>
      <c r="J1" s="2"/>
    </row>
    <row r="2" spans="2:10" ht="48" customHeight="1" x14ac:dyDescent="0.3">
      <c r="B2" s="39"/>
      <c r="C2" s="40"/>
      <c r="D2" s="40"/>
      <c r="E2" s="40"/>
      <c r="F2" s="40"/>
      <c r="G2" s="40"/>
      <c r="H2" s="40"/>
      <c r="I2" s="40"/>
      <c r="J2" s="41"/>
    </row>
    <row r="3" spans="2:10" ht="27" customHeight="1" x14ac:dyDescent="0.3">
      <c r="B3" s="17" t="s">
        <v>5</v>
      </c>
      <c r="C3" s="17" t="s">
        <v>6</v>
      </c>
      <c r="D3" s="17" t="s">
        <v>8</v>
      </c>
      <c r="E3" s="17" t="s">
        <v>7</v>
      </c>
      <c r="F3" s="17" t="s">
        <v>0</v>
      </c>
      <c r="G3" s="17" t="s">
        <v>1</v>
      </c>
      <c r="H3" s="17" t="s">
        <v>2</v>
      </c>
      <c r="I3" s="17" t="s">
        <v>18</v>
      </c>
      <c r="J3" s="17" t="s">
        <v>19</v>
      </c>
    </row>
    <row r="4" spans="2:10" ht="27" customHeight="1" x14ac:dyDescent="0.3">
      <c r="B4" s="49"/>
      <c r="C4" s="19"/>
      <c r="D4" s="14"/>
      <c r="E4" s="14"/>
      <c r="F4" s="14"/>
      <c r="G4" s="14"/>
      <c r="H4" s="42"/>
      <c r="I4" s="20"/>
      <c r="J4" s="50"/>
    </row>
  </sheetData>
  <mergeCells count="1">
    <mergeCell ref="B2:J2"/>
  </mergeCells>
  <conditionalFormatting sqref="I4">
    <cfRule type="cellIs" dxfId="12" priority="2" operator="lessThanOr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225E73-04AD-4A14-ADB7-951D1BD6BA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7</vt:i4>
      </vt:variant>
    </vt:vector>
  </HeadingPairs>
  <TitlesOfParts>
    <vt:vector size="9" baseType="lpstr">
      <vt:lpstr>Acesso</vt:lpstr>
      <vt:lpstr>empty</vt:lpstr>
      <vt:lpstr>Lista!Area_de_impressao</vt:lpstr>
      <vt:lpstr>Cadastro!usersList</vt:lpstr>
      <vt:lpstr>Entrada!usersList</vt:lpstr>
      <vt:lpstr>Estoque!usersList</vt:lpstr>
      <vt:lpstr>Saida!usersList</vt:lpstr>
      <vt:lpstr>usersList</vt:lpstr>
      <vt:lpstr>Acesso!view</vt:lpstr>
    </vt:vector>
  </TitlesOfParts>
  <Company>JC Araujo Vendas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de Estoque</dc:title>
  <dc:creator>Lucas</dc:creator>
  <cp:lastModifiedBy>Lucas</cp:lastModifiedBy>
  <cp:lastPrinted>2022-09-22T17:29:46Z</cp:lastPrinted>
  <dcterms:created xsi:type="dcterms:W3CDTF">2022-07-02T12:08:15Z</dcterms:created>
  <dcterms:modified xsi:type="dcterms:W3CDTF">2022-10-05T13:33:42Z</dcterms:modified>
</cp:coreProperties>
</file>